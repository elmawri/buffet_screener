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Simplicity" sheetId="3" state="visible" r:id="rId3"/>
    <sheet xmlns:r="http://schemas.openxmlformats.org/officeDocument/2006/relationships" name="OperatingHistory" sheetId="4" state="visible" r:id="rId4"/>
    <sheet xmlns:r="http://schemas.openxmlformats.org/officeDocument/2006/relationships" name="Moat" sheetId="5" state="visible" r:id="rId5"/>
    <sheet xmlns:r="http://schemas.openxmlformats.org/officeDocument/2006/relationships" name="Management" sheetId="6" state="visible" r:id="rId6"/>
    <sheet xmlns:r="http://schemas.openxmlformats.org/officeDocument/2006/relationships" name="ROE_ROIC" sheetId="7" state="visible" r:id="rId7"/>
    <sheet xmlns:r="http://schemas.openxmlformats.org/officeDocument/2006/relationships" name="Predictability" sheetId="8" state="visible" r:id="rId8"/>
    <sheet xmlns:r="http://schemas.openxmlformats.org/officeDocument/2006/relationships" name="CapitalAllocation" sheetId="9" state="visible" r:id="rId9"/>
    <sheet xmlns:r="http://schemas.openxmlformats.org/officeDocument/2006/relationships" name="Leverage" sheetId="10" state="visible" r:id="rId10"/>
    <sheet xmlns:r="http://schemas.openxmlformats.org/officeDocument/2006/relationships" name="Resilience" sheetId="11" state="visible" r:id="rId11"/>
    <sheet xmlns:r="http://schemas.openxmlformats.org/officeDocument/2006/relationships" name="PriceValue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DataDictionary" sheetId="14" state="visible" r:id="rId14"/>
    <sheet xmlns:r="http://schemas.openxmlformats.org/officeDocument/2006/relationships" name="Instruction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9"/>
  </cols>
  <sheetData>
    <row r="1" ht="28.3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Sector</t>
        </is>
      </c>
      <c r="D1" s="6" t="inlineStr">
        <is>
          <t>Industry</t>
        </is>
      </c>
      <c r="E1" s="6" t="inlineStr">
        <is>
          <t>Country</t>
        </is>
      </c>
      <c r="F1" s="6" t="inlineStr">
        <is>
          <t>Notes</t>
        </is>
      </c>
      <c r="G1" s="6" t="inlineStr">
        <is>
          <t>Simplicity (1-10)</t>
        </is>
      </c>
      <c r="H1" s="6" t="inlineStr">
        <is>
          <t>Operating History (1-10)</t>
        </is>
      </c>
      <c r="I1" s="6" t="inlineStr">
        <is>
          <t>Moat (1-10)</t>
        </is>
      </c>
      <c r="J1" s="6" t="inlineStr">
        <is>
          <t>Management (1-10)</t>
        </is>
      </c>
      <c r="K1" s="6" t="inlineStr">
        <is>
          <t>ROE/ROIC (1-10)</t>
        </is>
      </c>
      <c r="L1" s="6" t="inlineStr">
        <is>
          <t>Predictability (1-10)</t>
        </is>
      </c>
      <c r="M1" s="6" t="inlineStr">
        <is>
          <t>Capital Allocation (1-10)</t>
        </is>
      </c>
      <c r="N1" s="6" t="inlineStr">
        <is>
          <t>Leverage Prudence (1-10)</t>
        </is>
      </c>
      <c r="O1" s="6" t="inlineStr">
        <is>
          <t>Resilience (1-10)</t>
        </is>
      </c>
      <c r="P1" s="6" t="inlineStr">
        <is>
          <t>Price vs Value (1-10)</t>
        </is>
      </c>
      <c r="Q1" s="6" t="inlineStr">
        <is>
          <t>Total (0-100)</t>
        </is>
      </c>
      <c r="R1" s="6" t="inlineStr">
        <is>
          <t>Average (0-10)</t>
        </is>
      </c>
      <c r="S1" s="6" t="inlineStr">
        <is>
          <t>Rank</t>
        </is>
      </c>
    </row>
    <row r="2" ht="15" customHeight="1" s="5">
      <c r="A2" s="4">
        <f>Tickers!A2</f>
        <v/>
      </c>
      <c r="B2" s="4">
        <f>Tickers!B2</f>
        <v/>
      </c>
      <c r="C2" s="4">
        <f>Tickers!F2</f>
        <v/>
      </c>
      <c r="D2" s="4">
        <f>Tickers!G2</f>
        <v/>
      </c>
      <c r="E2" s="4">
        <f>Tickers!H2</f>
        <v/>
      </c>
      <c r="G2" s="4">
        <f>Simplicity!$R$2</f>
        <v/>
      </c>
      <c r="H2" s="4">
        <f>OperatingHistory!$N$2</f>
        <v/>
      </c>
      <c r="I2" s="4">
        <f>Moat!$Q$2</f>
        <v/>
      </c>
      <c r="J2" s="4">
        <f>Management!$P$2</f>
        <v/>
      </c>
      <c r="K2" s="4">
        <f>ROE_ROIC!$J$2</f>
        <v/>
      </c>
      <c r="L2" s="4">
        <f>Predictability!$L$2</f>
        <v/>
      </c>
      <c r="M2" s="4">
        <f>CapitalAllocation!$L$2</f>
        <v/>
      </c>
      <c r="N2" s="4">
        <f>Leverage!$N$2</f>
        <v/>
      </c>
      <c r="O2" s="4">
        <f>Resilience!$O$2</f>
        <v/>
      </c>
      <c r="P2" s="4">
        <f>PriceValue!O2</f>
        <v/>
      </c>
      <c r="Q2" s="4">
        <f>SUM(G2:P2)</f>
        <v/>
      </c>
      <c r="R2" s="4">
        <f>Q2/10</f>
        <v/>
      </c>
      <c r="S2" s="4">
        <f>RANK(R2,R$2:R$17,0)</f>
        <v/>
      </c>
    </row>
    <row r="3" ht="15" customHeight="1" s="5">
      <c r="A3" s="4">
        <f>Tickers!A3</f>
        <v/>
      </c>
      <c r="B3" s="4">
        <f>Tickers!B3</f>
        <v/>
      </c>
      <c r="C3" s="4">
        <f>Tickers!F3</f>
        <v/>
      </c>
      <c r="D3" s="4">
        <f>Tickers!G3</f>
        <v/>
      </c>
      <c r="E3" s="4">
        <f>Tickers!H3</f>
        <v/>
      </c>
      <c r="G3" s="4">
        <f>Simplicity!$R$3</f>
        <v/>
      </c>
      <c r="H3" s="4">
        <f>OperatingHistory!$N$3</f>
        <v/>
      </c>
      <c r="I3" s="4">
        <f>Moat!$Q$3</f>
        <v/>
      </c>
      <c r="J3" s="4">
        <f>Management!$P$3</f>
        <v/>
      </c>
      <c r="K3" s="4">
        <f>ROE_ROIC!$J$3</f>
        <v/>
      </c>
      <c r="L3" s="4">
        <f>Predictability!$L$3</f>
        <v/>
      </c>
      <c r="M3" s="4">
        <f>CapitalAllocation!$L$3</f>
        <v/>
      </c>
      <c r="N3" s="4">
        <f>Leverage!$N$3</f>
        <v/>
      </c>
      <c r="O3" s="4">
        <f>Resilience!$O$3</f>
        <v/>
      </c>
      <c r="P3" s="4">
        <f>PriceValue!O3</f>
        <v/>
      </c>
      <c r="Q3" s="4">
        <f>SUM(G3:P3)</f>
        <v/>
      </c>
      <c r="R3" s="4">
        <f>Q3/10</f>
        <v/>
      </c>
      <c r="S3" s="4">
        <f>RANK(R3,R$2:R$17,0)</f>
        <v/>
      </c>
    </row>
    <row r="4" ht="15" customHeight="1" s="5">
      <c r="A4" s="4">
        <f>Tickers!A4</f>
        <v/>
      </c>
      <c r="B4" s="4">
        <f>Tickers!B4</f>
        <v/>
      </c>
      <c r="C4" s="4">
        <f>Tickers!F4</f>
        <v/>
      </c>
      <c r="D4" s="4">
        <f>Tickers!G4</f>
        <v/>
      </c>
      <c r="E4" s="4">
        <f>Tickers!H4</f>
        <v/>
      </c>
      <c r="G4" s="4">
        <f>Simplicity!$R$4</f>
        <v/>
      </c>
      <c r="H4" s="4">
        <f>OperatingHistory!$N$4</f>
        <v/>
      </c>
      <c r="I4" s="4">
        <f>Moat!$Q$4</f>
        <v/>
      </c>
      <c r="J4" s="4">
        <f>Management!$P$4</f>
        <v/>
      </c>
      <c r="K4" s="4">
        <f>ROE_ROIC!$J$4</f>
        <v/>
      </c>
      <c r="L4" s="4">
        <f>Predictability!$L$4</f>
        <v/>
      </c>
      <c r="M4" s="4">
        <f>CapitalAllocation!$L$4</f>
        <v/>
      </c>
      <c r="N4" s="4">
        <f>Leverage!$N$4</f>
        <v/>
      </c>
      <c r="O4" s="4">
        <f>Resilience!$O$4</f>
        <v/>
      </c>
      <c r="P4" s="4">
        <f>PriceValue!O4</f>
        <v/>
      </c>
      <c r="Q4" s="4">
        <f>SUM(G4:P4)</f>
        <v/>
      </c>
      <c r="R4" s="4">
        <f>Q4/10</f>
        <v/>
      </c>
      <c r="S4" s="4">
        <f>RANK(R4,R$2:R$17,0)</f>
        <v/>
      </c>
    </row>
    <row r="5" ht="15" customHeight="1" s="5">
      <c r="A5" s="4">
        <f>Tickers!A5</f>
        <v/>
      </c>
      <c r="B5" s="4">
        <f>Tickers!B5</f>
        <v/>
      </c>
      <c r="C5" s="4">
        <f>Tickers!F5</f>
        <v/>
      </c>
      <c r="D5" s="4">
        <f>Tickers!G5</f>
        <v/>
      </c>
      <c r="E5" s="4">
        <f>Tickers!H5</f>
        <v/>
      </c>
      <c r="G5" s="4">
        <f>Simplicity!$R$5</f>
        <v/>
      </c>
      <c r="H5" s="4">
        <f>OperatingHistory!$N$5</f>
        <v/>
      </c>
      <c r="I5" s="4">
        <f>Moat!$Q$5</f>
        <v/>
      </c>
      <c r="J5" s="4">
        <f>Management!$P$5</f>
        <v/>
      </c>
      <c r="K5" s="4">
        <f>ROE_ROIC!$J$5</f>
        <v/>
      </c>
      <c r="L5" s="4">
        <f>Predictability!$L$5</f>
        <v/>
      </c>
      <c r="M5" s="4">
        <f>CapitalAllocation!$L$5</f>
        <v/>
      </c>
      <c r="N5" s="4">
        <f>Leverage!$N$5</f>
        <v/>
      </c>
      <c r="O5" s="4">
        <f>Resilience!$O$5</f>
        <v/>
      </c>
      <c r="P5" s="4">
        <f>PriceValue!O5</f>
        <v/>
      </c>
      <c r="Q5" s="4">
        <f>SUM(G5:P5)</f>
        <v/>
      </c>
      <c r="R5" s="4">
        <f>Q5/10</f>
        <v/>
      </c>
      <c r="S5" s="4">
        <f>RANK(R5,R$2:R$17,0)</f>
        <v/>
      </c>
    </row>
    <row r="6" ht="15" customHeight="1" s="5">
      <c r="A6" s="4">
        <f>Tickers!A6</f>
        <v/>
      </c>
      <c r="B6" s="4">
        <f>Tickers!B6</f>
        <v/>
      </c>
      <c r="C6" s="4">
        <f>Tickers!F6</f>
        <v/>
      </c>
      <c r="D6" s="4">
        <f>Tickers!G6</f>
        <v/>
      </c>
      <c r="E6" s="4">
        <f>Tickers!H6</f>
        <v/>
      </c>
      <c r="G6" s="4">
        <f>Simplicity!$R$6</f>
        <v/>
      </c>
      <c r="H6" s="4">
        <f>OperatingHistory!$N$6</f>
        <v/>
      </c>
      <c r="I6" s="4">
        <f>Moat!$Q$6</f>
        <v/>
      </c>
      <c r="J6" s="4">
        <f>Management!$P$6</f>
        <v/>
      </c>
      <c r="K6" s="4">
        <f>ROE_ROIC!$J$6</f>
        <v/>
      </c>
      <c r="L6" s="4">
        <f>Predictability!$L$6</f>
        <v/>
      </c>
      <c r="M6" s="4">
        <f>CapitalAllocation!$L$6</f>
        <v/>
      </c>
      <c r="N6" s="4">
        <f>Leverage!$N$6</f>
        <v/>
      </c>
      <c r="O6" s="4">
        <f>Resilience!$O$6</f>
        <v/>
      </c>
      <c r="P6" s="4">
        <f>PriceValue!O6</f>
        <v/>
      </c>
      <c r="Q6" s="4">
        <f>SUM(G6:P6)</f>
        <v/>
      </c>
      <c r="R6" s="4">
        <f>Q6/10</f>
        <v/>
      </c>
      <c r="S6" s="4">
        <f>RANK(R6,R$2:R$17,0)</f>
        <v/>
      </c>
    </row>
    <row r="7" ht="15" customHeight="1" s="5">
      <c r="A7" s="4">
        <f>Tickers!A7</f>
        <v/>
      </c>
      <c r="B7" s="4">
        <f>Tickers!B7</f>
        <v/>
      </c>
      <c r="C7" s="4">
        <f>Tickers!F7</f>
        <v/>
      </c>
      <c r="D7" s="4">
        <f>Tickers!G7</f>
        <v/>
      </c>
      <c r="E7" s="4">
        <f>Tickers!H7</f>
        <v/>
      </c>
      <c r="G7" s="4">
        <f>Simplicity!$R$7</f>
        <v/>
      </c>
      <c r="H7" s="4">
        <f>OperatingHistory!$N$7</f>
        <v/>
      </c>
      <c r="I7" s="4">
        <f>Moat!$Q$7</f>
        <v/>
      </c>
      <c r="J7" s="4">
        <f>Management!$P$7</f>
        <v/>
      </c>
      <c r="K7" s="4">
        <f>ROE_ROIC!$J$7</f>
        <v/>
      </c>
      <c r="L7" s="4">
        <f>Predictability!$L$7</f>
        <v/>
      </c>
      <c r="M7" s="4">
        <f>CapitalAllocation!$L$7</f>
        <v/>
      </c>
      <c r="N7" s="4">
        <f>Leverage!$N$7</f>
        <v/>
      </c>
      <c r="O7" s="4">
        <f>Resilience!$O$7</f>
        <v/>
      </c>
      <c r="P7" s="4">
        <f>PriceValue!O7</f>
        <v/>
      </c>
      <c r="Q7" s="4">
        <f>SUM(G7:P7)</f>
        <v/>
      </c>
      <c r="R7" s="4">
        <f>Q7/10</f>
        <v/>
      </c>
      <c r="S7" s="4">
        <f>RANK(R7,R$2:R$17,0)</f>
        <v/>
      </c>
    </row>
    <row r="8" ht="15" customHeight="1" s="5">
      <c r="A8" s="4">
        <f>Tickers!A8</f>
        <v/>
      </c>
      <c r="B8" s="4">
        <f>Tickers!B8</f>
        <v/>
      </c>
      <c r="C8" s="4">
        <f>Tickers!F8</f>
        <v/>
      </c>
      <c r="D8" s="4">
        <f>Tickers!G8</f>
        <v/>
      </c>
      <c r="E8" s="4">
        <f>Tickers!H8</f>
        <v/>
      </c>
      <c r="G8" s="4">
        <f>Simplicity!$R$8</f>
        <v/>
      </c>
      <c r="H8" s="4">
        <f>OperatingHistory!$N$8</f>
        <v/>
      </c>
      <c r="I8" s="4">
        <f>Moat!$Q$8</f>
        <v/>
      </c>
      <c r="J8" s="4">
        <f>Management!$P$8</f>
        <v/>
      </c>
      <c r="K8" s="4">
        <f>ROE_ROIC!$J$8</f>
        <v/>
      </c>
      <c r="L8" s="4">
        <f>Predictability!$L$8</f>
        <v/>
      </c>
      <c r="M8" s="4">
        <f>CapitalAllocation!$L$8</f>
        <v/>
      </c>
      <c r="N8" s="4">
        <f>Leverage!$N$8</f>
        <v/>
      </c>
      <c r="O8" s="4">
        <f>Resilience!$O$8</f>
        <v/>
      </c>
      <c r="P8" s="4">
        <f>PriceValue!O8</f>
        <v/>
      </c>
      <c r="Q8" s="4">
        <f>SUM(G8:P8)</f>
        <v/>
      </c>
      <c r="R8" s="4">
        <f>Q8/10</f>
        <v/>
      </c>
      <c r="S8" s="4">
        <f>RANK(R8,R$2:R$17,0)</f>
        <v/>
      </c>
    </row>
    <row r="9" ht="15" customHeight="1" s="5">
      <c r="A9" s="4">
        <f>Tickers!A9</f>
        <v/>
      </c>
      <c r="B9" s="4">
        <f>Tickers!B9</f>
        <v/>
      </c>
      <c r="C9" s="4">
        <f>Tickers!F9</f>
        <v/>
      </c>
      <c r="D9" s="4">
        <f>Tickers!G9</f>
        <v/>
      </c>
      <c r="E9" s="4">
        <f>Tickers!H9</f>
        <v/>
      </c>
      <c r="G9" s="4">
        <f>Simplicity!$R$9</f>
        <v/>
      </c>
      <c r="H9" s="4">
        <f>OperatingHistory!$N$9</f>
        <v/>
      </c>
      <c r="I9" s="4">
        <f>Moat!$Q$9</f>
        <v/>
      </c>
      <c r="J9" s="4">
        <f>Management!$P$9</f>
        <v/>
      </c>
      <c r="K9" s="4">
        <f>ROE_ROIC!$J$9</f>
        <v/>
      </c>
      <c r="L9" s="4">
        <f>Predictability!$L$9</f>
        <v/>
      </c>
      <c r="M9" s="4">
        <f>CapitalAllocation!$L$9</f>
        <v/>
      </c>
      <c r="N9" s="4">
        <f>Leverage!$N$9</f>
        <v/>
      </c>
      <c r="O9" s="4">
        <f>Resilience!$O$9</f>
        <v/>
      </c>
      <c r="P9" s="4">
        <f>PriceValue!O9</f>
        <v/>
      </c>
      <c r="Q9" s="4">
        <f>SUM(G9:P9)</f>
        <v/>
      </c>
      <c r="R9" s="4">
        <f>Q9/10</f>
        <v/>
      </c>
      <c r="S9" s="4">
        <f>RANK(R9,R$2:R$17,0)</f>
        <v/>
      </c>
    </row>
    <row r="10" ht="15" customHeight="1" s="5">
      <c r="A10" s="4">
        <f>Tickers!A10</f>
        <v/>
      </c>
      <c r="B10" s="4">
        <f>Tickers!B10</f>
        <v/>
      </c>
      <c r="C10" s="4">
        <f>Tickers!F10</f>
        <v/>
      </c>
      <c r="D10" s="4">
        <f>Tickers!G10</f>
        <v/>
      </c>
      <c r="E10" s="4">
        <f>Tickers!H10</f>
        <v/>
      </c>
      <c r="G10" s="4">
        <f>Simplicity!$R$10</f>
        <v/>
      </c>
      <c r="H10" s="4">
        <f>OperatingHistory!$N$10</f>
        <v/>
      </c>
      <c r="I10" s="4">
        <f>Moat!$Q$10</f>
        <v/>
      </c>
      <c r="J10" s="4">
        <f>Management!$P$10</f>
        <v/>
      </c>
      <c r="K10" s="4">
        <f>ROE_ROIC!$J$10</f>
        <v/>
      </c>
      <c r="L10" s="4">
        <f>Predictability!$L$10</f>
        <v/>
      </c>
      <c r="M10" s="4">
        <f>CapitalAllocation!$L$10</f>
        <v/>
      </c>
      <c r="N10" s="4">
        <f>Leverage!$N$10</f>
        <v/>
      </c>
      <c r="O10" s="4">
        <f>Resilience!$O$10</f>
        <v/>
      </c>
      <c r="P10" s="4">
        <f>PriceValue!O10</f>
        <v/>
      </c>
      <c r="Q10" s="4">
        <f>SUM(G10:P10)</f>
        <v/>
      </c>
      <c r="R10" s="4">
        <f>Q10/10</f>
        <v/>
      </c>
      <c r="S10" s="4">
        <f>RANK(R10,R$2:R$17,0)</f>
        <v/>
      </c>
    </row>
    <row r="11" ht="15" customHeight="1" s="5">
      <c r="A11" s="4">
        <f>Tickers!A11</f>
        <v/>
      </c>
      <c r="B11" s="4">
        <f>Tickers!B11</f>
        <v/>
      </c>
      <c r="C11" s="4">
        <f>Tickers!F11</f>
        <v/>
      </c>
      <c r="D11" s="4">
        <f>Tickers!G11</f>
        <v/>
      </c>
      <c r="E11" s="4">
        <f>Tickers!H11</f>
        <v/>
      </c>
      <c r="G11" s="4">
        <f>Simplicity!$R$11</f>
        <v/>
      </c>
      <c r="H11" s="4">
        <f>OperatingHistory!$N$11</f>
        <v/>
      </c>
      <c r="I11" s="4">
        <f>Moat!$Q$11</f>
        <v/>
      </c>
      <c r="J11" s="4">
        <f>Management!$P$11</f>
        <v/>
      </c>
      <c r="K11" s="4">
        <f>ROE_ROIC!$J$11</f>
        <v/>
      </c>
      <c r="L11" s="4">
        <f>Predictability!$L$11</f>
        <v/>
      </c>
      <c r="M11" s="4">
        <f>CapitalAllocation!$L$11</f>
        <v/>
      </c>
      <c r="N11" s="4">
        <f>Leverage!$N$11</f>
        <v/>
      </c>
      <c r="O11" s="4">
        <f>Resilience!$O$11</f>
        <v/>
      </c>
      <c r="P11" s="4">
        <f>PriceValue!O11</f>
        <v/>
      </c>
      <c r="Q11" s="4">
        <f>SUM(G11:P11)</f>
        <v/>
      </c>
      <c r="R11" s="4">
        <f>Q11/10</f>
        <v/>
      </c>
      <c r="S11" s="4">
        <f>RANK(R11,R$2:R$17,0)</f>
        <v/>
      </c>
    </row>
    <row r="12" ht="15" customHeight="1" s="5">
      <c r="A12" s="4">
        <f>Tickers!A12</f>
        <v/>
      </c>
      <c r="B12" s="4">
        <f>Tickers!B12</f>
        <v/>
      </c>
      <c r="C12" s="4">
        <f>Tickers!F12</f>
        <v/>
      </c>
      <c r="D12" s="4">
        <f>Tickers!G12</f>
        <v/>
      </c>
      <c r="E12" s="4">
        <f>Tickers!H12</f>
        <v/>
      </c>
      <c r="G12" s="4">
        <f>Simplicity!$R$12</f>
        <v/>
      </c>
      <c r="H12" s="4">
        <f>OperatingHistory!$N$12</f>
        <v/>
      </c>
      <c r="I12" s="4">
        <f>Moat!$Q$12</f>
        <v/>
      </c>
      <c r="J12" s="4">
        <f>Management!$P$12</f>
        <v/>
      </c>
      <c r="K12" s="4">
        <f>ROE_ROIC!$J$12</f>
        <v/>
      </c>
      <c r="L12" s="4">
        <f>Predictability!$L$12</f>
        <v/>
      </c>
      <c r="M12" s="4">
        <f>CapitalAllocation!$L$12</f>
        <v/>
      </c>
      <c r="N12" s="4">
        <f>Leverage!$N$12</f>
        <v/>
      </c>
      <c r="O12" s="4">
        <f>Resilience!$O$12</f>
        <v/>
      </c>
      <c r="P12" s="4">
        <f>PriceValue!O12</f>
        <v/>
      </c>
      <c r="Q12" s="4">
        <f>SUM(G12:P12)</f>
        <v/>
      </c>
      <c r="R12" s="4">
        <f>Q12/10</f>
        <v/>
      </c>
      <c r="S12" s="4">
        <f>RANK(R12,R$2:R$17,0)</f>
        <v/>
      </c>
    </row>
    <row r="13" ht="15" customHeight="1" s="5">
      <c r="A13" s="4">
        <f>Tickers!A13</f>
        <v/>
      </c>
      <c r="B13" s="4">
        <f>Tickers!B13</f>
        <v/>
      </c>
      <c r="C13" s="4">
        <f>Tickers!F13</f>
        <v/>
      </c>
      <c r="D13" s="4">
        <f>Tickers!G13</f>
        <v/>
      </c>
      <c r="E13" s="4">
        <f>Tickers!H13</f>
        <v/>
      </c>
      <c r="G13" s="4">
        <f>Simplicity!$R$13</f>
        <v/>
      </c>
      <c r="H13" s="4">
        <f>OperatingHistory!$N$13</f>
        <v/>
      </c>
      <c r="I13" s="4">
        <f>Moat!$Q$13</f>
        <v/>
      </c>
      <c r="J13" s="4">
        <f>Management!$P$13</f>
        <v/>
      </c>
      <c r="K13" s="4">
        <f>ROE_ROIC!$J$13</f>
        <v/>
      </c>
      <c r="L13" s="4">
        <f>Predictability!$L$13</f>
        <v/>
      </c>
      <c r="M13" s="4">
        <f>CapitalAllocation!$L$13</f>
        <v/>
      </c>
      <c r="N13" s="4">
        <f>Leverage!$N$13</f>
        <v/>
      </c>
      <c r="O13" s="4">
        <f>Resilience!$O$13</f>
        <v/>
      </c>
      <c r="P13" s="4">
        <f>PriceValue!O13</f>
        <v/>
      </c>
      <c r="Q13" s="4">
        <f>SUM(G13:P13)</f>
        <v/>
      </c>
      <c r="R13" s="4">
        <f>Q13/10</f>
        <v/>
      </c>
      <c r="S13" s="4">
        <f>RANK(R13,R$2:R$17,0)</f>
        <v/>
      </c>
    </row>
    <row r="14" ht="15" customHeight="1" s="5">
      <c r="A14" s="4">
        <f>Tickers!A14</f>
        <v/>
      </c>
      <c r="B14" s="4">
        <f>Tickers!B14</f>
        <v/>
      </c>
      <c r="C14" s="4">
        <f>Tickers!F14</f>
        <v/>
      </c>
      <c r="D14" s="4">
        <f>Tickers!G14</f>
        <v/>
      </c>
      <c r="E14" s="4">
        <f>Tickers!H14</f>
        <v/>
      </c>
      <c r="G14" s="4">
        <f>Simplicity!$R$14</f>
        <v/>
      </c>
      <c r="H14" s="4">
        <f>OperatingHistory!$N$14</f>
        <v/>
      </c>
      <c r="I14" s="4">
        <f>Moat!$Q$14</f>
        <v/>
      </c>
      <c r="J14" s="4">
        <f>Management!$P$14</f>
        <v/>
      </c>
      <c r="K14" s="4">
        <f>ROE_ROIC!$J$14</f>
        <v/>
      </c>
      <c r="L14" s="4">
        <f>Predictability!$L$14</f>
        <v/>
      </c>
      <c r="M14" s="4">
        <f>CapitalAllocation!$L$14</f>
        <v/>
      </c>
      <c r="N14" s="4">
        <f>Leverage!$N$14</f>
        <v/>
      </c>
      <c r="O14" s="4">
        <f>Resilience!$O$14</f>
        <v/>
      </c>
      <c r="P14" s="4">
        <f>PriceValue!O14</f>
        <v/>
      </c>
      <c r="Q14" s="4">
        <f>SUM(G14:P14)</f>
        <v/>
      </c>
      <c r="R14" s="4">
        <f>Q14/10</f>
        <v/>
      </c>
      <c r="S14" s="4">
        <f>RANK(R14,R$2:R$17,0)</f>
        <v/>
      </c>
    </row>
    <row r="15" ht="15" customHeight="1" s="5">
      <c r="A15" s="4">
        <f>Tickers!A15</f>
        <v/>
      </c>
      <c r="B15" s="4">
        <f>Tickers!B15</f>
        <v/>
      </c>
      <c r="C15" s="4">
        <f>Tickers!F15</f>
        <v/>
      </c>
      <c r="D15" s="4">
        <f>Tickers!G15</f>
        <v/>
      </c>
      <c r="E15" s="4">
        <f>Tickers!H15</f>
        <v/>
      </c>
      <c r="G15" s="4">
        <f>Simplicity!$R$15</f>
        <v/>
      </c>
      <c r="H15" s="4">
        <f>OperatingHistory!$N$15</f>
        <v/>
      </c>
      <c r="I15" s="4">
        <f>Moat!$Q$15</f>
        <v/>
      </c>
      <c r="J15" s="4">
        <f>Management!$P$15</f>
        <v/>
      </c>
      <c r="K15" s="4">
        <f>ROE_ROIC!$J$15</f>
        <v/>
      </c>
      <c r="L15" s="4">
        <f>Predictability!$L$15</f>
        <v/>
      </c>
      <c r="M15" s="4">
        <f>CapitalAllocation!$L$15</f>
        <v/>
      </c>
      <c r="N15" s="4">
        <f>Leverage!$N$15</f>
        <v/>
      </c>
      <c r="O15" s="4">
        <f>Resilience!$O$15</f>
        <v/>
      </c>
      <c r="P15" s="4">
        <f>PriceValue!O15</f>
        <v/>
      </c>
      <c r="Q15" s="4">
        <f>SUM(G15:P15)</f>
        <v/>
      </c>
      <c r="R15" s="4">
        <f>Q15/10</f>
        <v/>
      </c>
      <c r="S15" s="4">
        <f>RANK(R15,R$2:R$17,0)</f>
        <v/>
      </c>
    </row>
    <row r="16" ht="15" customHeight="1" s="5">
      <c r="A16" s="4">
        <f>Tickers!A16</f>
        <v/>
      </c>
      <c r="B16" s="4">
        <f>Tickers!B16</f>
        <v/>
      </c>
      <c r="C16" s="4">
        <f>Tickers!F16</f>
        <v/>
      </c>
      <c r="D16" s="4">
        <f>Tickers!G16</f>
        <v/>
      </c>
      <c r="E16" s="4">
        <f>Tickers!H16</f>
        <v/>
      </c>
      <c r="G16" s="4">
        <f>Simplicity!$R$16</f>
        <v/>
      </c>
      <c r="H16" s="4">
        <f>OperatingHistory!$N$16</f>
        <v/>
      </c>
      <c r="I16" s="4">
        <f>Moat!$Q$16</f>
        <v/>
      </c>
      <c r="J16" s="4">
        <f>Management!$P$16</f>
        <v/>
      </c>
      <c r="K16" s="4">
        <f>ROE_ROIC!$J$16</f>
        <v/>
      </c>
      <c r="L16" s="4">
        <f>Predictability!$L$16</f>
        <v/>
      </c>
      <c r="M16" s="4">
        <f>CapitalAllocation!$L$16</f>
        <v/>
      </c>
      <c r="N16" s="4">
        <f>Leverage!$N$16</f>
        <v/>
      </c>
      <c r="O16" s="4">
        <f>Resilience!$O$16</f>
        <v/>
      </c>
      <c r="P16" s="4">
        <f>PriceValue!O16</f>
        <v/>
      </c>
      <c r="Q16" s="4">
        <f>SUM(G16:P16)</f>
        <v/>
      </c>
      <c r="R16" s="4">
        <f>Q16/10</f>
        <v/>
      </c>
      <c r="S16" s="4">
        <f>RANK(R16,R$2:R$17,0)</f>
        <v/>
      </c>
    </row>
    <row r="17" ht="15" customHeight="1" s="5">
      <c r="A17" s="4">
        <f>Tickers!A17</f>
        <v/>
      </c>
      <c r="B17" s="4">
        <f>Tickers!B17</f>
        <v/>
      </c>
      <c r="C17" s="4">
        <f>Tickers!F17</f>
        <v/>
      </c>
      <c r="D17" s="4">
        <f>Tickers!G17</f>
        <v/>
      </c>
      <c r="E17" s="4">
        <f>Tickers!H17</f>
        <v/>
      </c>
      <c r="G17" s="4">
        <f>Simplicity!$R$17</f>
        <v/>
      </c>
      <c r="H17" s="4">
        <f>OperatingHistory!$N$17</f>
        <v/>
      </c>
      <c r="I17" s="4">
        <f>Moat!$Q$17</f>
        <v/>
      </c>
      <c r="J17" s="4">
        <f>Management!$P$17</f>
        <v/>
      </c>
      <c r="K17" s="4">
        <f>ROE_ROIC!$J$17</f>
        <v/>
      </c>
      <c r="L17" s="4">
        <f>Predictability!$L$17</f>
        <v/>
      </c>
      <c r="M17" s="4">
        <f>CapitalAllocation!$L$17</f>
        <v/>
      </c>
      <c r="N17" s="4">
        <f>Leverage!$N$17</f>
        <v/>
      </c>
      <c r="O17" s="4">
        <f>Resilience!$O$17</f>
        <v/>
      </c>
      <c r="P17" s="4">
        <f>PriceValue!O17</f>
        <v/>
      </c>
      <c r="Q17" s="4">
        <f>SUM(G17:P17)</f>
        <v/>
      </c>
      <c r="R17" s="4">
        <f>Q17/10</f>
        <v/>
      </c>
      <c r="S17" s="4">
        <f>RANK(R17,R$2:R$17,0)</f>
        <v/>
      </c>
    </row>
    <row r="18" ht="15" customHeight="1" s="5">
      <c r="Q18" s="4">
        <f>SUM(G18:P18)</f>
        <v/>
      </c>
      <c r="R18" s="4">
        <f>Q18/10</f>
        <v/>
      </c>
      <c r="S18" s="4">
        <f>RANK(R18,R$2:R$201,0)</f>
        <v/>
      </c>
    </row>
    <row r="19" ht="15" customHeight="1" s="5">
      <c r="Q19" s="4">
        <f>SUM(G19:P19)</f>
        <v/>
      </c>
      <c r="R19" s="4">
        <f>Q19/10</f>
        <v/>
      </c>
      <c r="S19" s="4">
        <f>RANK(R19,R$2:R$201,0)</f>
        <v/>
      </c>
    </row>
    <row r="20" ht="15" customHeight="1" s="5">
      <c r="Q20" s="4">
        <f>SUM(G20:P20)</f>
        <v/>
      </c>
      <c r="R20" s="4">
        <f>Q20/10</f>
        <v/>
      </c>
      <c r="S20" s="4">
        <f>RANK(R20,R$2:R$201,0)</f>
        <v/>
      </c>
    </row>
    <row r="21" ht="15" customHeight="1" s="5">
      <c r="Q21" s="4">
        <f>SUM(G21:P21)</f>
        <v/>
      </c>
      <c r="R21" s="4">
        <f>Q21/10</f>
        <v/>
      </c>
      <c r="S21" s="4">
        <f>RANK(R21,R$2:R$201,0)</f>
        <v/>
      </c>
    </row>
    <row r="22" ht="15" customHeight="1" s="5">
      <c r="Q22" s="4">
        <f>SUM(G22:P22)</f>
        <v/>
      </c>
      <c r="R22" s="4">
        <f>Q22/10</f>
        <v/>
      </c>
      <c r="S22" s="4">
        <f>RANK(R22,R$2:R$201,0)</f>
        <v/>
      </c>
    </row>
    <row r="23" ht="15" customHeight="1" s="5">
      <c r="Q23" s="4">
        <f>SUM(G23:P23)</f>
        <v/>
      </c>
      <c r="R23" s="4">
        <f>Q23/10</f>
        <v/>
      </c>
      <c r="S23" s="4">
        <f>RANK(R23,R$2:R$201,0)</f>
        <v/>
      </c>
    </row>
    <row r="24" ht="15" customHeight="1" s="5">
      <c r="Q24" s="4">
        <f>SUM(G24:P24)</f>
        <v/>
      </c>
      <c r="R24" s="4">
        <f>Q24/10</f>
        <v/>
      </c>
      <c r="S24" s="4">
        <f>RANK(R24,R$2:R$201,0)</f>
        <v/>
      </c>
    </row>
    <row r="25" ht="15" customHeight="1" s="5">
      <c r="Q25" s="4">
        <f>SUM(G25:P25)</f>
        <v/>
      </c>
      <c r="R25" s="4">
        <f>Q25/10</f>
        <v/>
      </c>
      <c r="S25" s="4">
        <f>RANK(R25,R$2:R$201,0)</f>
        <v/>
      </c>
    </row>
    <row r="26" ht="15" customHeight="1" s="5">
      <c r="Q26" s="4">
        <f>SUM(G26:P26)</f>
        <v/>
      </c>
      <c r="R26" s="4">
        <f>Q26/10</f>
        <v/>
      </c>
      <c r="S26" s="4">
        <f>RANK(R26,R$2:R$201,0)</f>
        <v/>
      </c>
    </row>
    <row r="27" ht="15" customHeight="1" s="5">
      <c r="Q27" s="4">
        <f>SUM(G27:P27)</f>
        <v/>
      </c>
      <c r="R27" s="4">
        <f>Q27/10</f>
        <v/>
      </c>
      <c r="S27" s="4">
        <f>RANK(R27,R$2:R$201,0)</f>
        <v/>
      </c>
    </row>
    <row r="28" ht="15" customHeight="1" s="5">
      <c r="Q28" s="4">
        <f>SUM(G28:P28)</f>
        <v/>
      </c>
      <c r="R28" s="4">
        <f>Q28/10</f>
        <v/>
      </c>
      <c r="S28" s="4">
        <f>RANK(R28,R$2:R$201,0)</f>
        <v/>
      </c>
    </row>
    <row r="29" ht="15" customHeight="1" s="5">
      <c r="Q29" s="4">
        <f>SUM(G29:P29)</f>
        <v/>
      </c>
      <c r="R29" s="4">
        <f>Q29/10</f>
        <v/>
      </c>
      <c r="S29" s="4">
        <f>RANK(R29,R$2:R$201,0)</f>
        <v/>
      </c>
    </row>
    <row r="30" ht="15" customHeight="1" s="5">
      <c r="Q30" s="4">
        <f>SUM(G30:P30)</f>
        <v/>
      </c>
      <c r="R30" s="4">
        <f>Q30/10</f>
        <v/>
      </c>
      <c r="S30" s="4">
        <f>RANK(R30,R$2:R$201,0)</f>
        <v/>
      </c>
    </row>
    <row r="31" ht="15" customHeight="1" s="5">
      <c r="Q31" s="4">
        <f>SUM(G31:P31)</f>
        <v/>
      </c>
      <c r="R31" s="4">
        <f>Q31/10</f>
        <v/>
      </c>
      <c r="S31" s="4">
        <f>RANK(R31,R$2:R$201,0)</f>
        <v/>
      </c>
    </row>
    <row r="32" ht="15" customHeight="1" s="5">
      <c r="Q32" s="4">
        <f>SUM(G32:P32)</f>
        <v/>
      </c>
      <c r="R32" s="4">
        <f>Q32/10</f>
        <v/>
      </c>
      <c r="S32" s="4">
        <f>RANK(R32,R$2:R$201,0)</f>
        <v/>
      </c>
    </row>
    <row r="33" ht="15" customHeight="1" s="5">
      <c r="Q33" s="4">
        <f>SUM(G33:P33)</f>
        <v/>
      </c>
      <c r="R33" s="4">
        <f>Q33/10</f>
        <v/>
      </c>
      <c r="S33" s="4">
        <f>RANK(R33,R$2:R$201,0)</f>
        <v/>
      </c>
    </row>
    <row r="34" ht="15" customHeight="1" s="5">
      <c r="Q34" s="4">
        <f>SUM(G34:P34)</f>
        <v/>
      </c>
      <c r="R34" s="4">
        <f>Q34/10</f>
        <v/>
      </c>
      <c r="S34" s="4">
        <f>RANK(R34,R$2:R$201,0)</f>
        <v/>
      </c>
    </row>
    <row r="35" ht="15" customHeight="1" s="5">
      <c r="Q35" s="4">
        <f>SUM(G35:P35)</f>
        <v/>
      </c>
      <c r="R35" s="4">
        <f>Q35/10</f>
        <v/>
      </c>
      <c r="S35" s="4">
        <f>RANK(R35,R$2:R$201,0)</f>
        <v/>
      </c>
    </row>
    <row r="36" ht="15" customHeight="1" s="5">
      <c r="Q36" s="4">
        <f>SUM(G36:P36)</f>
        <v/>
      </c>
      <c r="R36" s="4">
        <f>Q36/10</f>
        <v/>
      </c>
      <c r="S36" s="4">
        <f>RANK(R36,R$2:R$201,0)</f>
        <v/>
      </c>
    </row>
    <row r="37" ht="15" customHeight="1" s="5">
      <c r="Q37" s="4">
        <f>SUM(G37:P37)</f>
        <v/>
      </c>
      <c r="R37" s="4">
        <f>Q37/10</f>
        <v/>
      </c>
      <c r="S37" s="4">
        <f>RANK(R37,R$2:R$201,0)</f>
        <v/>
      </c>
    </row>
    <row r="38" ht="15" customHeight="1" s="5">
      <c r="Q38" s="4">
        <f>SUM(G38:P38)</f>
        <v/>
      </c>
      <c r="R38" s="4">
        <f>Q38/10</f>
        <v/>
      </c>
      <c r="S38" s="4">
        <f>RANK(R38,R$2:R$201,0)</f>
        <v/>
      </c>
    </row>
    <row r="39" ht="15" customHeight="1" s="5">
      <c r="Q39" s="4">
        <f>SUM(G39:P39)</f>
        <v/>
      </c>
      <c r="R39" s="4">
        <f>Q39/10</f>
        <v/>
      </c>
      <c r="S39" s="4">
        <f>RANK(R39,R$2:R$201,0)</f>
        <v/>
      </c>
    </row>
    <row r="40" ht="15" customHeight="1" s="5">
      <c r="Q40" s="4">
        <f>SUM(G40:P40)</f>
        <v/>
      </c>
      <c r="R40" s="4">
        <f>Q40/10</f>
        <v/>
      </c>
      <c r="S40" s="4">
        <f>RANK(R40,R$2:R$201,0)</f>
        <v/>
      </c>
    </row>
    <row r="41" ht="15" customHeight="1" s="5">
      <c r="Q41" s="4">
        <f>SUM(G41:P41)</f>
        <v/>
      </c>
      <c r="R41" s="4">
        <f>Q41/10</f>
        <v/>
      </c>
      <c r="S41" s="4">
        <f>RANK(R41,R$2:R$201,0)</f>
        <v/>
      </c>
    </row>
    <row r="42" ht="15" customHeight="1" s="5">
      <c r="Q42" s="4">
        <f>SUM(G42:P42)</f>
        <v/>
      </c>
      <c r="R42" s="4">
        <f>Q42/10</f>
        <v/>
      </c>
      <c r="S42" s="4">
        <f>RANK(R42,R$2:R$201,0)</f>
        <v/>
      </c>
    </row>
    <row r="43" ht="15" customHeight="1" s="5">
      <c r="Q43" s="4">
        <f>SUM(G43:P43)</f>
        <v/>
      </c>
      <c r="R43" s="4">
        <f>Q43/10</f>
        <v/>
      </c>
      <c r="S43" s="4">
        <f>RANK(R43,R$2:R$201,0)</f>
        <v/>
      </c>
    </row>
    <row r="44" ht="15" customHeight="1" s="5">
      <c r="Q44" s="4">
        <f>SUM(G44:P44)</f>
        <v/>
      </c>
      <c r="R44" s="4">
        <f>Q44/10</f>
        <v/>
      </c>
      <c r="S44" s="4">
        <f>RANK(R44,R$2:R$201,0)</f>
        <v/>
      </c>
    </row>
    <row r="45" ht="15" customHeight="1" s="5">
      <c r="Q45" s="4">
        <f>SUM(G45:P45)</f>
        <v/>
      </c>
      <c r="R45" s="4">
        <f>Q45/10</f>
        <v/>
      </c>
      <c r="S45" s="4">
        <f>RANK(R45,R$2:R$201,0)</f>
        <v/>
      </c>
    </row>
    <row r="46" ht="15" customHeight="1" s="5">
      <c r="Q46" s="4">
        <f>SUM(G46:P46)</f>
        <v/>
      </c>
      <c r="R46" s="4">
        <f>Q46/10</f>
        <v/>
      </c>
      <c r="S46" s="4">
        <f>RANK(R46,R$2:R$201,0)</f>
        <v/>
      </c>
    </row>
    <row r="47" ht="15" customHeight="1" s="5">
      <c r="Q47" s="4">
        <f>SUM(G47:P47)</f>
        <v/>
      </c>
      <c r="R47" s="4">
        <f>Q47/10</f>
        <v/>
      </c>
      <c r="S47" s="4">
        <f>RANK(R47,R$2:R$201,0)</f>
        <v/>
      </c>
    </row>
    <row r="48" ht="15" customHeight="1" s="5">
      <c r="Q48" s="4">
        <f>SUM(G48:P48)</f>
        <v/>
      </c>
      <c r="R48" s="4">
        <f>Q48/10</f>
        <v/>
      </c>
      <c r="S48" s="4">
        <f>RANK(R48,R$2:R$201,0)</f>
        <v/>
      </c>
    </row>
    <row r="49" ht="15" customHeight="1" s="5">
      <c r="Q49" s="4">
        <f>SUM(G49:P49)</f>
        <v/>
      </c>
      <c r="R49" s="4">
        <f>Q49/10</f>
        <v/>
      </c>
      <c r="S49" s="4">
        <f>RANK(R49,R$2:R$201,0)</f>
        <v/>
      </c>
    </row>
    <row r="50" ht="15" customHeight="1" s="5">
      <c r="Q50" s="4">
        <f>SUM(G50:P50)</f>
        <v/>
      </c>
      <c r="R50" s="4">
        <f>Q50/10</f>
        <v/>
      </c>
      <c r="S50" s="4">
        <f>RANK(R50,R$2:R$201,0)</f>
        <v/>
      </c>
    </row>
    <row r="51" ht="15" customHeight="1" s="5">
      <c r="Q51" s="4">
        <f>SUM(G51:P51)</f>
        <v/>
      </c>
      <c r="R51" s="4">
        <f>Q51/10</f>
        <v/>
      </c>
      <c r="S51" s="4">
        <f>RANK(R51,R$2:R$201,0)</f>
        <v/>
      </c>
    </row>
    <row r="52" ht="15" customHeight="1" s="5">
      <c r="Q52" s="4">
        <f>SUM(G52:P52)</f>
        <v/>
      </c>
      <c r="R52" s="4">
        <f>Q52/10</f>
        <v/>
      </c>
      <c r="S52" s="4">
        <f>RANK(R52,R$2:R$201,0)</f>
        <v/>
      </c>
    </row>
    <row r="53" ht="15" customHeight="1" s="5">
      <c r="Q53" s="4">
        <f>SUM(G53:P53)</f>
        <v/>
      </c>
      <c r="R53" s="4">
        <f>Q53/10</f>
        <v/>
      </c>
      <c r="S53" s="4">
        <f>RANK(R53,R$2:R$201,0)</f>
        <v/>
      </c>
    </row>
    <row r="54" ht="15" customHeight="1" s="5">
      <c r="Q54" s="4">
        <f>SUM(G54:P54)</f>
        <v/>
      </c>
      <c r="R54" s="4">
        <f>Q54/10</f>
        <v/>
      </c>
      <c r="S54" s="4">
        <f>RANK(R54,R$2:R$201,0)</f>
        <v/>
      </c>
    </row>
    <row r="55" ht="15" customHeight="1" s="5">
      <c r="Q55" s="4">
        <f>SUM(G55:P55)</f>
        <v/>
      </c>
      <c r="R55" s="4">
        <f>Q55/10</f>
        <v/>
      </c>
      <c r="S55" s="4">
        <f>RANK(R55,R$2:R$201,0)</f>
        <v/>
      </c>
    </row>
    <row r="56" ht="15" customHeight="1" s="5">
      <c r="Q56" s="4">
        <f>SUM(G56:P56)</f>
        <v/>
      </c>
      <c r="R56" s="4">
        <f>Q56/10</f>
        <v/>
      </c>
      <c r="S56" s="4">
        <f>RANK(R56,R$2:R$201,0)</f>
        <v/>
      </c>
    </row>
    <row r="57" ht="15" customHeight="1" s="5">
      <c r="Q57" s="4">
        <f>SUM(G57:P57)</f>
        <v/>
      </c>
      <c r="R57" s="4">
        <f>Q57/10</f>
        <v/>
      </c>
      <c r="S57" s="4">
        <f>RANK(R57,R$2:R$201,0)</f>
        <v/>
      </c>
    </row>
    <row r="58" ht="15" customHeight="1" s="5">
      <c r="Q58" s="4">
        <f>SUM(G58:P58)</f>
        <v/>
      </c>
      <c r="R58" s="4">
        <f>Q58/10</f>
        <v/>
      </c>
      <c r="S58" s="4">
        <f>RANK(R58,R$2:R$201,0)</f>
        <v/>
      </c>
    </row>
    <row r="59" ht="15" customHeight="1" s="5">
      <c r="Q59" s="4">
        <f>SUM(G59:P59)</f>
        <v/>
      </c>
      <c r="R59" s="4">
        <f>Q59/10</f>
        <v/>
      </c>
      <c r="S59" s="4">
        <f>RANK(R59,R$2:R$201,0)</f>
        <v/>
      </c>
    </row>
    <row r="60" ht="15" customHeight="1" s="5">
      <c r="Q60" s="4">
        <f>SUM(G60:P60)</f>
        <v/>
      </c>
      <c r="R60" s="4">
        <f>Q60/10</f>
        <v/>
      </c>
      <c r="S60" s="4">
        <f>RANK(R60,R$2:R$201,0)</f>
        <v/>
      </c>
    </row>
    <row r="61" ht="15" customHeight="1" s="5">
      <c r="Q61" s="4">
        <f>SUM(G61:P61)</f>
        <v/>
      </c>
      <c r="R61" s="4">
        <f>Q61/10</f>
        <v/>
      </c>
      <c r="S61" s="4">
        <f>RANK(R61,R$2:R$201,0)</f>
        <v/>
      </c>
    </row>
    <row r="62" ht="15" customHeight="1" s="5">
      <c r="Q62" s="4">
        <f>SUM(G62:P62)</f>
        <v/>
      </c>
      <c r="R62" s="4">
        <f>Q62/10</f>
        <v/>
      </c>
      <c r="S62" s="4">
        <f>RANK(R62,R$2:R$201,0)</f>
        <v/>
      </c>
    </row>
    <row r="63" ht="15" customHeight="1" s="5">
      <c r="Q63" s="4">
        <f>SUM(G63:P63)</f>
        <v/>
      </c>
      <c r="R63" s="4">
        <f>Q63/10</f>
        <v/>
      </c>
      <c r="S63" s="4">
        <f>RANK(R63,R$2:R$201,0)</f>
        <v/>
      </c>
    </row>
    <row r="64" ht="15" customHeight="1" s="5">
      <c r="Q64" s="4">
        <f>SUM(G64:P64)</f>
        <v/>
      </c>
      <c r="R64" s="4">
        <f>Q64/10</f>
        <v/>
      </c>
      <c r="S64" s="4">
        <f>RANK(R64,R$2:R$201,0)</f>
        <v/>
      </c>
    </row>
    <row r="65" ht="15" customHeight="1" s="5">
      <c r="Q65" s="4">
        <f>SUM(G65:P65)</f>
        <v/>
      </c>
      <c r="R65" s="4">
        <f>Q65/10</f>
        <v/>
      </c>
      <c r="S65" s="4">
        <f>RANK(R65,R$2:R$201,0)</f>
        <v/>
      </c>
    </row>
    <row r="66" ht="15" customHeight="1" s="5">
      <c r="Q66" s="4">
        <f>SUM(G66:P66)</f>
        <v/>
      </c>
      <c r="R66" s="4">
        <f>Q66/10</f>
        <v/>
      </c>
      <c r="S66" s="4">
        <f>RANK(R66,R$2:R$201,0)</f>
        <v/>
      </c>
    </row>
    <row r="67" ht="15" customHeight="1" s="5">
      <c r="Q67" s="4">
        <f>SUM(G67:P67)</f>
        <v/>
      </c>
      <c r="R67" s="4">
        <f>Q67/10</f>
        <v/>
      </c>
      <c r="S67" s="4">
        <f>RANK(R67,R$2:R$201,0)</f>
        <v/>
      </c>
    </row>
    <row r="68" ht="15" customHeight="1" s="5">
      <c r="Q68" s="4">
        <f>SUM(G68:P68)</f>
        <v/>
      </c>
      <c r="R68" s="4">
        <f>Q68/10</f>
        <v/>
      </c>
      <c r="S68" s="4">
        <f>RANK(R68,R$2:R$201,0)</f>
        <v/>
      </c>
    </row>
    <row r="69" ht="15" customHeight="1" s="5">
      <c r="Q69" s="4">
        <f>SUM(G69:P69)</f>
        <v/>
      </c>
      <c r="R69" s="4">
        <f>Q69/10</f>
        <v/>
      </c>
      <c r="S69" s="4">
        <f>RANK(R69,R$2:R$201,0)</f>
        <v/>
      </c>
    </row>
    <row r="70" ht="15" customHeight="1" s="5">
      <c r="Q70" s="4">
        <f>SUM(G70:P70)</f>
        <v/>
      </c>
      <c r="R70" s="4">
        <f>Q70/10</f>
        <v/>
      </c>
      <c r="S70" s="4">
        <f>RANK(R70,R$2:R$201,0)</f>
        <v/>
      </c>
    </row>
    <row r="71" ht="15" customHeight="1" s="5">
      <c r="Q71" s="4">
        <f>SUM(G71:P71)</f>
        <v/>
      </c>
      <c r="R71" s="4">
        <f>Q71/10</f>
        <v/>
      </c>
      <c r="S71" s="4">
        <f>RANK(R71,R$2:R$201,0)</f>
        <v/>
      </c>
    </row>
    <row r="72" ht="15" customHeight="1" s="5">
      <c r="Q72" s="4">
        <f>SUM(G72:P72)</f>
        <v/>
      </c>
      <c r="R72" s="4">
        <f>Q72/10</f>
        <v/>
      </c>
      <c r="S72" s="4">
        <f>RANK(R72,R$2:R$201,0)</f>
        <v/>
      </c>
    </row>
    <row r="73" ht="15" customHeight="1" s="5">
      <c r="Q73" s="4">
        <f>SUM(G73:P73)</f>
        <v/>
      </c>
      <c r="R73" s="4">
        <f>Q73/10</f>
        <v/>
      </c>
      <c r="S73" s="4">
        <f>RANK(R73,R$2:R$201,0)</f>
        <v/>
      </c>
    </row>
    <row r="74" ht="15" customHeight="1" s="5">
      <c r="Q74" s="4">
        <f>SUM(G74:P74)</f>
        <v/>
      </c>
      <c r="R74" s="4">
        <f>Q74/10</f>
        <v/>
      </c>
      <c r="S74" s="4">
        <f>RANK(R74,R$2:R$201,0)</f>
        <v/>
      </c>
    </row>
    <row r="75" ht="15" customHeight="1" s="5">
      <c r="Q75" s="4">
        <f>SUM(G75:P75)</f>
        <v/>
      </c>
      <c r="R75" s="4">
        <f>Q75/10</f>
        <v/>
      </c>
      <c r="S75" s="4">
        <f>RANK(R75,R$2:R$201,0)</f>
        <v/>
      </c>
    </row>
    <row r="76" ht="15" customHeight="1" s="5">
      <c r="Q76" s="4">
        <f>SUM(G76:P76)</f>
        <v/>
      </c>
      <c r="R76" s="4">
        <f>Q76/10</f>
        <v/>
      </c>
      <c r="S76" s="4">
        <f>RANK(R76,R$2:R$201,0)</f>
        <v/>
      </c>
    </row>
    <row r="77" ht="15" customHeight="1" s="5">
      <c r="Q77" s="4">
        <f>SUM(G77:P77)</f>
        <v/>
      </c>
      <c r="R77" s="4">
        <f>Q77/10</f>
        <v/>
      </c>
      <c r="S77" s="4">
        <f>RANK(R77,R$2:R$201,0)</f>
        <v/>
      </c>
    </row>
    <row r="78" ht="15" customHeight="1" s="5">
      <c r="Q78" s="4">
        <f>SUM(G78:P78)</f>
        <v/>
      </c>
      <c r="R78" s="4">
        <f>Q78/10</f>
        <v/>
      </c>
      <c r="S78" s="4">
        <f>RANK(R78,R$2:R$201,0)</f>
        <v/>
      </c>
    </row>
    <row r="79" ht="15" customHeight="1" s="5">
      <c r="Q79" s="4">
        <f>SUM(G79:P79)</f>
        <v/>
      </c>
      <c r="R79" s="4">
        <f>Q79/10</f>
        <v/>
      </c>
      <c r="S79" s="4">
        <f>RANK(R79,R$2:R$201,0)</f>
        <v/>
      </c>
    </row>
    <row r="80" ht="15" customHeight="1" s="5">
      <c r="Q80" s="4">
        <f>SUM(G80:P80)</f>
        <v/>
      </c>
      <c r="R80" s="4">
        <f>Q80/10</f>
        <v/>
      </c>
      <c r="S80" s="4">
        <f>RANK(R80,R$2:R$201,0)</f>
        <v/>
      </c>
    </row>
    <row r="81" ht="15" customHeight="1" s="5">
      <c r="Q81" s="4">
        <f>SUM(G81:P81)</f>
        <v/>
      </c>
      <c r="R81" s="4">
        <f>Q81/10</f>
        <v/>
      </c>
      <c r="S81" s="4">
        <f>RANK(R81,R$2:R$201,0)</f>
        <v/>
      </c>
    </row>
    <row r="82" ht="15" customHeight="1" s="5">
      <c r="Q82" s="4">
        <f>SUM(G82:P82)</f>
        <v/>
      </c>
      <c r="R82" s="4">
        <f>Q82/10</f>
        <v/>
      </c>
      <c r="S82" s="4">
        <f>RANK(R82,R$2:R$201,0)</f>
        <v/>
      </c>
    </row>
    <row r="83" ht="15" customHeight="1" s="5">
      <c r="Q83" s="4">
        <f>SUM(G83:P83)</f>
        <v/>
      </c>
      <c r="R83" s="4">
        <f>Q83/10</f>
        <v/>
      </c>
      <c r="S83" s="4">
        <f>RANK(R83,R$2:R$201,0)</f>
        <v/>
      </c>
    </row>
    <row r="84" ht="15" customHeight="1" s="5">
      <c r="Q84" s="4">
        <f>SUM(G84:P84)</f>
        <v/>
      </c>
      <c r="R84" s="4">
        <f>Q84/10</f>
        <v/>
      </c>
      <c r="S84" s="4">
        <f>RANK(R84,R$2:R$201,0)</f>
        <v/>
      </c>
    </row>
    <row r="85" ht="15" customHeight="1" s="5">
      <c r="Q85" s="4">
        <f>SUM(G85:P85)</f>
        <v/>
      </c>
      <c r="R85" s="4">
        <f>Q85/10</f>
        <v/>
      </c>
      <c r="S85" s="4">
        <f>RANK(R85,R$2:R$201,0)</f>
        <v/>
      </c>
    </row>
    <row r="86" ht="15" customHeight="1" s="5">
      <c r="Q86" s="4">
        <f>SUM(G86:P86)</f>
        <v/>
      </c>
      <c r="R86" s="4">
        <f>Q86/10</f>
        <v/>
      </c>
      <c r="S86" s="4">
        <f>RANK(R86,R$2:R$201,0)</f>
        <v/>
      </c>
    </row>
    <row r="87" ht="15" customHeight="1" s="5">
      <c r="Q87" s="4">
        <f>SUM(G87:P87)</f>
        <v/>
      </c>
      <c r="R87" s="4">
        <f>Q87/10</f>
        <v/>
      </c>
      <c r="S87" s="4">
        <f>RANK(R87,R$2:R$201,0)</f>
        <v/>
      </c>
    </row>
    <row r="88" ht="15" customHeight="1" s="5">
      <c r="Q88" s="4">
        <f>SUM(G88:P88)</f>
        <v/>
      </c>
      <c r="R88" s="4">
        <f>Q88/10</f>
        <v/>
      </c>
      <c r="S88" s="4">
        <f>RANK(R88,R$2:R$201,0)</f>
        <v/>
      </c>
    </row>
    <row r="89" ht="15" customHeight="1" s="5">
      <c r="Q89" s="4">
        <f>SUM(G89:P89)</f>
        <v/>
      </c>
      <c r="R89" s="4">
        <f>Q89/10</f>
        <v/>
      </c>
      <c r="S89" s="4">
        <f>RANK(R89,R$2:R$201,0)</f>
        <v/>
      </c>
    </row>
    <row r="90" ht="15" customHeight="1" s="5">
      <c r="Q90" s="4">
        <f>SUM(G90:P90)</f>
        <v/>
      </c>
      <c r="R90" s="4">
        <f>Q90/10</f>
        <v/>
      </c>
      <c r="S90" s="4">
        <f>RANK(R90,R$2:R$201,0)</f>
        <v/>
      </c>
    </row>
    <row r="91" ht="15" customHeight="1" s="5">
      <c r="Q91" s="4">
        <f>SUM(G91:P91)</f>
        <v/>
      </c>
      <c r="R91" s="4">
        <f>Q91/10</f>
        <v/>
      </c>
      <c r="S91" s="4">
        <f>RANK(R91,R$2:R$201,0)</f>
        <v/>
      </c>
    </row>
    <row r="92" ht="15" customHeight="1" s="5">
      <c r="Q92" s="4">
        <f>SUM(G92:P92)</f>
        <v/>
      </c>
      <c r="R92" s="4">
        <f>Q92/10</f>
        <v/>
      </c>
      <c r="S92" s="4">
        <f>RANK(R92,R$2:R$201,0)</f>
        <v/>
      </c>
    </row>
    <row r="93" ht="15" customHeight="1" s="5">
      <c r="Q93" s="4">
        <f>SUM(G93:P93)</f>
        <v/>
      </c>
      <c r="R93" s="4">
        <f>Q93/10</f>
        <v/>
      </c>
      <c r="S93" s="4">
        <f>RANK(R93,R$2:R$201,0)</f>
        <v/>
      </c>
    </row>
    <row r="94" ht="15" customHeight="1" s="5">
      <c r="Q94" s="4">
        <f>SUM(G94:P94)</f>
        <v/>
      </c>
      <c r="R94" s="4">
        <f>Q94/10</f>
        <v/>
      </c>
      <c r="S94" s="4">
        <f>RANK(R94,R$2:R$201,0)</f>
        <v/>
      </c>
    </row>
    <row r="95" ht="15" customHeight="1" s="5">
      <c r="Q95" s="4">
        <f>SUM(G95:P95)</f>
        <v/>
      </c>
      <c r="R95" s="4">
        <f>Q95/10</f>
        <v/>
      </c>
      <c r="S95" s="4">
        <f>RANK(R95,R$2:R$201,0)</f>
        <v/>
      </c>
    </row>
    <row r="96" ht="15" customHeight="1" s="5">
      <c r="Q96" s="4">
        <f>SUM(G96:P96)</f>
        <v/>
      </c>
      <c r="R96" s="4">
        <f>Q96/10</f>
        <v/>
      </c>
      <c r="S96" s="4">
        <f>RANK(R96,R$2:R$201,0)</f>
        <v/>
      </c>
    </row>
    <row r="97" ht="15" customHeight="1" s="5">
      <c r="Q97" s="4">
        <f>SUM(G97:P97)</f>
        <v/>
      </c>
      <c r="R97" s="4">
        <f>Q97/10</f>
        <v/>
      </c>
      <c r="S97" s="4">
        <f>RANK(R97,R$2:R$201,0)</f>
        <v/>
      </c>
    </row>
    <row r="98" ht="15" customHeight="1" s="5">
      <c r="Q98" s="4">
        <f>SUM(G98:P98)</f>
        <v/>
      </c>
      <c r="R98" s="4">
        <f>Q98/10</f>
        <v/>
      </c>
      <c r="S98" s="4">
        <f>RANK(R98,R$2:R$201,0)</f>
        <v/>
      </c>
    </row>
    <row r="99" ht="15" customHeight="1" s="5">
      <c r="Q99" s="4">
        <f>SUM(G99:P99)</f>
        <v/>
      </c>
      <c r="R99" s="4">
        <f>Q99/10</f>
        <v/>
      </c>
      <c r="S99" s="4">
        <f>RANK(R99,R$2:R$201,0)</f>
        <v/>
      </c>
    </row>
    <row r="100" ht="15" customHeight="1" s="5">
      <c r="Q100" s="4">
        <f>SUM(G100:P100)</f>
        <v/>
      </c>
      <c r="R100" s="4">
        <f>Q100/10</f>
        <v/>
      </c>
      <c r="S100" s="4">
        <f>RANK(R100,R$2:R$201,0)</f>
        <v/>
      </c>
    </row>
    <row r="101" ht="15" customHeight="1" s="5">
      <c r="Q101" s="4">
        <f>SUM(G101:P101)</f>
        <v/>
      </c>
      <c r="R101" s="4">
        <f>Q101/10</f>
        <v/>
      </c>
      <c r="S101" s="4">
        <f>RANK(R101,R$2:R$201,0)</f>
        <v/>
      </c>
    </row>
    <row r="102" ht="15" customHeight="1" s="5">
      <c r="Q102" s="4">
        <f>SUM(G102:P102)</f>
        <v/>
      </c>
      <c r="R102" s="4">
        <f>Q102/10</f>
        <v/>
      </c>
      <c r="S102" s="4">
        <f>RANK(R102,R$2:R$201,0)</f>
        <v/>
      </c>
    </row>
    <row r="103" ht="15" customHeight="1" s="5">
      <c r="Q103" s="4">
        <f>SUM(G103:P103)</f>
        <v/>
      </c>
      <c r="R103" s="4">
        <f>Q103/10</f>
        <v/>
      </c>
      <c r="S103" s="4">
        <f>RANK(R103,R$2:R$201,0)</f>
        <v/>
      </c>
    </row>
    <row r="104" ht="15" customHeight="1" s="5">
      <c r="Q104" s="4">
        <f>SUM(G104:P104)</f>
        <v/>
      </c>
      <c r="R104" s="4">
        <f>Q104/10</f>
        <v/>
      </c>
      <c r="S104" s="4">
        <f>RANK(R104,R$2:R$201,0)</f>
        <v/>
      </c>
    </row>
    <row r="105" ht="15" customHeight="1" s="5">
      <c r="Q105" s="4">
        <f>SUM(G105:P105)</f>
        <v/>
      </c>
      <c r="R105" s="4">
        <f>Q105/10</f>
        <v/>
      </c>
      <c r="S105" s="4">
        <f>RANK(R105,R$2:R$201,0)</f>
        <v/>
      </c>
    </row>
    <row r="106" ht="15" customHeight="1" s="5">
      <c r="Q106" s="4">
        <f>SUM(G106:P106)</f>
        <v/>
      </c>
      <c r="R106" s="4">
        <f>Q106/10</f>
        <v/>
      </c>
      <c r="S106" s="4">
        <f>RANK(R106,R$2:R$201,0)</f>
        <v/>
      </c>
    </row>
    <row r="107" ht="15" customHeight="1" s="5">
      <c r="Q107" s="4">
        <f>SUM(G107:P107)</f>
        <v/>
      </c>
      <c r="R107" s="4">
        <f>Q107/10</f>
        <v/>
      </c>
      <c r="S107" s="4">
        <f>RANK(R107,R$2:R$201,0)</f>
        <v/>
      </c>
    </row>
    <row r="108" ht="15" customHeight="1" s="5">
      <c r="Q108" s="4">
        <f>SUM(G108:P108)</f>
        <v/>
      </c>
      <c r="R108" s="4">
        <f>Q108/10</f>
        <v/>
      </c>
      <c r="S108" s="4">
        <f>RANK(R108,R$2:R$201,0)</f>
        <v/>
      </c>
    </row>
    <row r="109" ht="15" customHeight="1" s="5">
      <c r="Q109" s="4">
        <f>SUM(G109:P109)</f>
        <v/>
      </c>
      <c r="R109" s="4">
        <f>Q109/10</f>
        <v/>
      </c>
      <c r="S109" s="4">
        <f>RANK(R109,R$2:R$201,0)</f>
        <v/>
      </c>
    </row>
    <row r="110" ht="15" customHeight="1" s="5">
      <c r="Q110" s="4">
        <f>SUM(G110:P110)</f>
        <v/>
      </c>
      <c r="R110" s="4">
        <f>Q110/10</f>
        <v/>
      </c>
      <c r="S110" s="4">
        <f>RANK(R110,R$2:R$201,0)</f>
        <v/>
      </c>
    </row>
    <row r="111" ht="15" customHeight="1" s="5">
      <c r="Q111" s="4">
        <f>SUM(G111:P111)</f>
        <v/>
      </c>
      <c r="R111" s="4">
        <f>Q111/10</f>
        <v/>
      </c>
      <c r="S111" s="4">
        <f>RANK(R111,R$2:R$201,0)</f>
        <v/>
      </c>
    </row>
    <row r="112" ht="15" customHeight="1" s="5">
      <c r="Q112" s="4">
        <f>SUM(G112:P112)</f>
        <v/>
      </c>
      <c r="R112" s="4">
        <f>Q112/10</f>
        <v/>
      </c>
      <c r="S112" s="4">
        <f>RANK(R112,R$2:R$201,0)</f>
        <v/>
      </c>
    </row>
    <row r="113" ht="15" customHeight="1" s="5">
      <c r="Q113" s="4">
        <f>SUM(G113:P113)</f>
        <v/>
      </c>
      <c r="R113" s="4">
        <f>Q113/10</f>
        <v/>
      </c>
      <c r="S113" s="4">
        <f>RANK(R113,R$2:R$201,0)</f>
        <v/>
      </c>
    </row>
    <row r="114" ht="15" customHeight="1" s="5">
      <c r="Q114" s="4">
        <f>SUM(G114:P114)</f>
        <v/>
      </c>
      <c r="R114" s="4">
        <f>Q114/10</f>
        <v/>
      </c>
      <c r="S114" s="4">
        <f>RANK(R114,R$2:R$201,0)</f>
        <v/>
      </c>
    </row>
    <row r="115" ht="15" customHeight="1" s="5">
      <c r="Q115" s="4">
        <f>SUM(G115:P115)</f>
        <v/>
      </c>
      <c r="R115" s="4">
        <f>Q115/10</f>
        <v/>
      </c>
      <c r="S115" s="4">
        <f>RANK(R115,R$2:R$201,0)</f>
        <v/>
      </c>
    </row>
    <row r="116" ht="15" customHeight="1" s="5">
      <c r="Q116" s="4">
        <f>SUM(G116:P116)</f>
        <v/>
      </c>
      <c r="R116" s="4">
        <f>Q116/10</f>
        <v/>
      </c>
      <c r="S116" s="4">
        <f>RANK(R116,R$2:R$201,0)</f>
        <v/>
      </c>
    </row>
    <row r="117" ht="15" customHeight="1" s="5">
      <c r="Q117" s="4">
        <f>SUM(G117:P117)</f>
        <v/>
      </c>
      <c r="R117" s="4">
        <f>Q117/10</f>
        <v/>
      </c>
      <c r="S117" s="4">
        <f>RANK(R117,R$2:R$201,0)</f>
        <v/>
      </c>
    </row>
    <row r="118" ht="15" customHeight="1" s="5">
      <c r="Q118" s="4">
        <f>SUM(G118:P118)</f>
        <v/>
      </c>
      <c r="R118" s="4">
        <f>Q118/10</f>
        <v/>
      </c>
      <c r="S118" s="4">
        <f>RANK(R118,R$2:R$201,0)</f>
        <v/>
      </c>
    </row>
    <row r="119" ht="15" customHeight="1" s="5">
      <c r="Q119" s="4">
        <f>SUM(G119:P119)</f>
        <v/>
      </c>
      <c r="R119" s="4">
        <f>Q119/10</f>
        <v/>
      </c>
      <c r="S119" s="4">
        <f>RANK(R119,R$2:R$201,0)</f>
        <v/>
      </c>
    </row>
    <row r="120" ht="15" customHeight="1" s="5">
      <c r="Q120" s="4">
        <f>SUM(G120:P120)</f>
        <v/>
      </c>
      <c r="R120" s="4">
        <f>Q120/10</f>
        <v/>
      </c>
      <c r="S120" s="4">
        <f>RANK(R120,R$2:R$201,0)</f>
        <v/>
      </c>
    </row>
    <row r="121" ht="15" customHeight="1" s="5">
      <c r="Q121" s="4">
        <f>SUM(G121:P121)</f>
        <v/>
      </c>
      <c r="R121" s="4">
        <f>Q121/10</f>
        <v/>
      </c>
      <c r="S121" s="4">
        <f>RANK(R121,R$2:R$201,0)</f>
        <v/>
      </c>
    </row>
    <row r="122" ht="15" customHeight="1" s="5">
      <c r="Q122" s="4">
        <f>SUM(G122:P122)</f>
        <v/>
      </c>
      <c r="R122" s="4">
        <f>Q122/10</f>
        <v/>
      </c>
      <c r="S122" s="4">
        <f>RANK(R122,R$2:R$201,0)</f>
        <v/>
      </c>
    </row>
    <row r="123" ht="15" customHeight="1" s="5">
      <c r="Q123" s="4">
        <f>SUM(G123:P123)</f>
        <v/>
      </c>
      <c r="R123" s="4">
        <f>Q123/10</f>
        <v/>
      </c>
      <c r="S123" s="4">
        <f>RANK(R123,R$2:R$201,0)</f>
        <v/>
      </c>
    </row>
    <row r="124" ht="15" customHeight="1" s="5">
      <c r="Q124" s="4">
        <f>SUM(G124:P124)</f>
        <v/>
      </c>
      <c r="R124" s="4">
        <f>Q124/10</f>
        <v/>
      </c>
      <c r="S124" s="4">
        <f>RANK(R124,R$2:R$201,0)</f>
        <v/>
      </c>
    </row>
    <row r="125" ht="15" customHeight="1" s="5">
      <c r="Q125" s="4">
        <f>SUM(G125:P125)</f>
        <v/>
      </c>
      <c r="R125" s="4">
        <f>Q125/10</f>
        <v/>
      </c>
      <c r="S125" s="4">
        <f>RANK(R125,R$2:R$201,0)</f>
        <v/>
      </c>
    </row>
    <row r="126" ht="15" customHeight="1" s="5">
      <c r="Q126" s="4">
        <f>SUM(G126:P126)</f>
        <v/>
      </c>
      <c r="R126" s="4">
        <f>Q126/10</f>
        <v/>
      </c>
      <c r="S126" s="4">
        <f>RANK(R126,R$2:R$201,0)</f>
        <v/>
      </c>
    </row>
    <row r="127" ht="15" customHeight="1" s="5">
      <c r="Q127" s="4">
        <f>SUM(G127:P127)</f>
        <v/>
      </c>
      <c r="R127" s="4">
        <f>Q127/10</f>
        <v/>
      </c>
      <c r="S127" s="4">
        <f>RANK(R127,R$2:R$201,0)</f>
        <v/>
      </c>
    </row>
    <row r="128" ht="15" customHeight="1" s="5">
      <c r="Q128" s="4">
        <f>SUM(G128:P128)</f>
        <v/>
      </c>
      <c r="R128" s="4">
        <f>Q128/10</f>
        <v/>
      </c>
      <c r="S128" s="4">
        <f>RANK(R128,R$2:R$201,0)</f>
        <v/>
      </c>
    </row>
    <row r="129" ht="15" customHeight="1" s="5">
      <c r="Q129" s="4">
        <f>SUM(G129:P129)</f>
        <v/>
      </c>
      <c r="R129" s="4">
        <f>Q129/10</f>
        <v/>
      </c>
      <c r="S129" s="4">
        <f>RANK(R129,R$2:R$201,0)</f>
        <v/>
      </c>
    </row>
    <row r="130" ht="15" customHeight="1" s="5">
      <c r="Q130" s="4">
        <f>SUM(G130:P130)</f>
        <v/>
      </c>
      <c r="R130" s="4">
        <f>Q130/10</f>
        <v/>
      </c>
      <c r="S130" s="4">
        <f>RANK(R130,R$2:R$201,0)</f>
        <v/>
      </c>
    </row>
    <row r="131" ht="15" customHeight="1" s="5">
      <c r="Q131" s="4">
        <f>SUM(G131:P131)</f>
        <v/>
      </c>
      <c r="R131" s="4">
        <f>Q131/10</f>
        <v/>
      </c>
      <c r="S131" s="4">
        <f>RANK(R131,R$2:R$201,0)</f>
        <v/>
      </c>
    </row>
    <row r="132" ht="15" customHeight="1" s="5">
      <c r="Q132" s="4">
        <f>SUM(G132:P132)</f>
        <v/>
      </c>
      <c r="R132" s="4">
        <f>Q132/10</f>
        <v/>
      </c>
      <c r="S132" s="4">
        <f>RANK(R132,R$2:R$201,0)</f>
        <v/>
      </c>
    </row>
    <row r="133" ht="15" customHeight="1" s="5">
      <c r="Q133" s="4">
        <f>SUM(G133:P133)</f>
        <v/>
      </c>
      <c r="R133" s="4">
        <f>Q133/10</f>
        <v/>
      </c>
      <c r="S133" s="4">
        <f>RANK(R133,R$2:R$201,0)</f>
        <v/>
      </c>
    </row>
    <row r="134" ht="15" customHeight="1" s="5">
      <c r="Q134" s="4">
        <f>SUM(G134:P134)</f>
        <v/>
      </c>
      <c r="R134" s="4">
        <f>Q134/10</f>
        <v/>
      </c>
      <c r="S134" s="4">
        <f>RANK(R134,R$2:R$201,0)</f>
        <v/>
      </c>
    </row>
    <row r="135" ht="15" customHeight="1" s="5">
      <c r="Q135" s="4">
        <f>SUM(G135:P135)</f>
        <v/>
      </c>
      <c r="R135" s="4">
        <f>Q135/10</f>
        <v/>
      </c>
      <c r="S135" s="4">
        <f>RANK(R135,R$2:R$201,0)</f>
        <v/>
      </c>
    </row>
    <row r="136" ht="15" customHeight="1" s="5">
      <c r="Q136" s="4">
        <f>SUM(G136:P136)</f>
        <v/>
      </c>
      <c r="R136" s="4">
        <f>Q136/10</f>
        <v/>
      </c>
      <c r="S136" s="4">
        <f>RANK(R136,R$2:R$201,0)</f>
        <v/>
      </c>
    </row>
    <row r="137" ht="15" customHeight="1" s="5">
      <c r="Q137" s="4">
        <f>SUM(G137:P137)</f>
        <v/>
      </c>
      <c r="R137" s="4">
        <f>Q137/10</f>
        <v/>
      </c>
      <c r="S137" s="4">
        <f>RANK(R137,R$2:R$201,0)</f>
        <v/>
      </c>
    </row>
    <row r="138" ht="15" customHeight="1" s="5">
      <c r="Q138" s="4">
        <f>SUM(G138:P138)</f>
        <v/>
      </c>
      <c r="R138" s="4">
        <f>Q138/10</f>
        <v/>
      </c>
      <c r="S138" s="4">
        <f>RANK(R138,R$2:R$201,0)</f>
        <v/>
      </c>
    </row>
    <row r="139" ht="15" customHeight="1" s="5">
      <c r="Q139" s="4">
        <f>SUM(G139:P139)</f>
        <v/>
      </c>
      <c r="R139" s="4">
        <f>Q139/10</f>
        <v/>
      </c>
      <c r="S139" s="4">
        <f>RANK(R139,R$2:R$201,0)</f>
        <v/>
      </c>
    </row>
    <row r="140" ht="15" customHeight="1" s="5">
      <c r="Q140" s="4">
        <f>SUM(G140:P140)</f>
        <v/>
      </c>
      <c r="R140" s="4">
        <f>Q140/10</f>
        <v/>
      </c>
      <c r="S140" s="4">
        <f>RANK(R140,R$2:R$201,0)</f>
        <v/>
      </c>
    </row>
    <row r="141" ht="15" customHeight="1" s="5">
      <c r="Q141" s="4">
        <f>SUM(G141:P141)</f>
        <v/>
      </c>
      <c r="R141" s="4">
        <f>Q141/10</f>
        <v/>
      </c>
      <c r="S141" s="4">
        <f>RANK(R141,R$2:R$201,0)</f>
        <v/>
      </c>
    </row>
    <row r="142" ht="15" customHeight="1" s="5">
      <c r="Q142" s="4">
        <f>SUM(G142:P142)</f>
        <v/>
      </c>
      <c r="R142" s="4">
        <f>Q142/10</f>
        <v/>
      </c>
      <c r="S142" s="4">
        <f>RANK(R142,R$2:R$201,0)</f>
        <v/>
      </c>
    </row>
    <row r="143" ht="15" customHeight="1" s="5">
      <c r="Q143" s="4">
        <f>SUM(G143:P143)</f>
        <v/>
      </c>
      <c r="R143" s="4">
        <f>Q143/10</f>
        <v/>
      </c>
      <c r="S143" s="4">
        <f>RANK(R143,R$2:R$201,0)</f>
        <v/>
      </c>
    </row>
    <row r="144" ht="15" customHeight="1" s="5">
      <c r="Q144" s="4">
        <f>SUM(G144:P144)</f>
        <v/>
      </c>
      <c r="R144" s="4">
        <f>Q144/10</f>
        <v/>
      </c>
      <c r="S144" s="4">
        <f>RANK(R144,R$2:R$201,0)</f>
        <v/>
      </c>
    </row>
    <row r="145" ht="15" customHeight="1" s="5">
      <c r="Q145" s="4">
        <f>SUM(G145:P145)</f>
        <v/>
      </c>
      <c r="R145" s="4">
        <f>Q145/10</f>
        <v/>
      </c>
      <c r="S145" s="4">
        <f>RANK(R145,R$2:R$201,0)</f>
        <v/>
      </c>
    </row>
    <row r="146" ht="15" customHeight="1" s="5">
      <c r="Q146" s="4">
        <f>SUM(G146:P146)</f>
        <v/>
      </c>
      <c r="R146" s="4">
        <f>Q146/10</f>
        <v/>
      </c>
      <c r="S146" s="4">
        <f>RANK(R146,R$2:R$201,0)</f>
        <v/>
      </c>
    </row>
    <row r="147" ht="15" customHeight="1" s="5">
      <c r="Q147" s="4">
        <f>SUM(G147:P147)</f>
        <v/>
      </c>
      <c r="R147" s="4">
        <f>Q147/10</f>
        <v/>
      </c>
      <c r="S147" s="4">
        <f>RANK(R147,R$2:R$201,0)</f>
        <v/>
      </c>
    </row>
    <row r="148" ht="15" customHeight="1" s="5">
      <c r="Q148" s="4">
        <f>SUM(G148:P148)</f>
        <v/>
      </c>
      <c r="R148" s="4">
        <f>Q148/10</f>
        <v/>
      </c>
      <c r="S148" s="4">
        <f>RANK(R148,R$2:R$201,0)</f>
        <v/>
      </c>
    </row>
    <row r="149" ht="15" customHeight="1" s="5">
      <c r="Q149" s="4">
        <f>SUM(G149:P149)</f>
        <v/>
      </c>
      <c r="R149" s="4">
        <f>Q149/10</f>
        <v/>
      </c>
      <c r="S149" s="4">
        <f>RANK(R149,R$2:R$201,0)</f>
        <v/>
      </c>
    </row>
    <row r="150" ht="15" customHeight="1" s="5">
      <c r="Q150" s="4">
        <f>SUM(G150:P150)</f>
        <v/>
      </c>
      <c r="R150" s="4">
        <f>Q150/10</f>
        <v/>
      </c>
      <c r="S150" s="4">
        <f>RANK(R150,R$2:R$201,0)</f>
        <v/>
      </c>
    </row>
    <row r="151" ht="15" customHeight="1" s="5">
      <c r="Q151" s="4">
        <f>SUM(G151:P151)</f>
        <v/>
      </c>
      <c r="R151" s="4">
        <f>Q151/10</f>
        <v/>
      </c>
      <c r="S151" s="4">
        <f>RANK(R151,R$2:R$201,0)</f>
        <v/>
      </c>
    </row>
    <row r="152" ht="15" customHeight="1" s="5">
      <c r="Q152" s="4">
        <f>SUM(G152:P152)</f>
        <v/>
      </c>
      <c r="R152" s="4">
        <f>Q152/10</f>
        <v/>
      </c>
      <c r="S152" s="4">
        <f>RANK(R152,R$2:R$201,0)</f>
        <v/>
      </c>
    </row>
    <row r="153" ht="15" customHeight="1" s="5">
      <c r="Q153" s="4">
        <f>SUM(G153:P153)</f>
        <v/>
      </c>
      <c r="R153" s="4">
        <f>Q153/10</f>
        <v/>
      </c>
      <c r="S153" s="4">
        <f>RANK(R153,R$2:R$201,0)</f>
        <v/>
      </c>
    </row>
    <row r="154" ht="15" customHeight="1" s="5">
      <c r="Q154" s="4">
        <f>SUM(G154:P154)</f>
        <v/>
      </c>
      <c r="R154" s="4">
        <f>Q154/10</f>
        <v/>
      </c>
      <c r="S154" s="4">
        <f>RANK(R154,R$2:R$201,0)</f>
        <v/>
      </c>
    </row>
    <row r="155" ht="15" customHeight="1" s="5">
      <c r="Q155" s="4">
        <f>SUM(G155:P155)</f>
        <v/>
      </c>
      <c r="R155" s="4">
        <f>Q155/10</f>
        <v/>
      </c>
      <c r="S155" s="4">
        <f>RANK(R155,R$2:R$201,0)</f>
        <v/>
      </c>
    </row>
    <row r="156" ht="15" customHeight="1" s="5">
      <c r="Q156" s="4">
        <f>SUM(G156:P156)</f>
        <v/>
      </c>
      <c r="R156" s="4">
        <f>Q156/10</f>
        <v/>
      </c>
      <c r="S156" s="4">
        <f>RANK(R156,R$2:R$201,0)</f>
        <v/>
      </c>
    </row>
    <row r="157" ht="15" customHeight="1" s="5">
      <c r="Q157" s="4">
        <f>SUM(G157:P157)</f>
        <v/>
      </c>
      <c r="R157" s="4">
        <f>Q157/10</f>
        <v/>
      </c>
      <c r="S157" s="4">
        <f>RANK(R157,R$2:R$201,0)</f>
        <v/>
      </c>
    </row>
    <row r="158" ht="15" customHeight="1" s="5">
      <c r="Q158" s="4">
        <f>SUM(G158:P158)</f>
        <v/>
      </c>
      <c r="R158" s="4">
        <f>Q158/10</f>
        <v/>
      </c>
      <c r="S158" s="4">
        <f>RANK(R158,R$2:R$201,0)</f>
        <v/>
      </c>
    </row>
    <row r="159" ht="15" customHeight="1" s="5">
      <c r="Q159" s="4">
        <f>SUM(G159:P159)</f>
        <v/>
      </c>
      <c r="R159" s="4">
        <f>Q159/10</f>
        <v/>
      </c>
      <c r="S159" s="4">
        <f>RANK(R159,R$2:R$201,0)</f>
        <v/>
      </c>
    </row>
    <row r="160" ht="15" customHeight="1" s="5">
      <c r="Q160" s="4">
        <f>SUM(G160:P160)</f>
        <v/>
      </c>
      <c r="R160" s="4">
        <f>Q160/10</f>
        <v/>
      </c>
      <c r="S160" s="4">
        <f>RANK(R160,R$2:R$201,0)</f>
        <v/>
      </c>
    </row>
    <row r="161" ht="15" customHeight="1" s="5">
      <c r="Q161" s="4">
        <f>SUM(G161:P161)</f>
        <v/>
      </c>
      <c r="R161" s="4">
        <f>Q161/10</f>
        <v/>
      </c>
      <c r="S161" s="4">
        <f>RANK(R161,R$2:R$201,0)</f>
        <v/>
      </c>
    </row>
    <row r="162" ht="15" customHeight="1" s="5">
      <c r="Q162" s="4">
        <f>SUM(G162:P162)</f>
        <v/>
      </c>
      <c r="R162" s="4">
        <f>Q162/10</f>
        <v/>
      </c>
      <c r="S162" s="4">
        <f>RANK(R162,R$2:R$201,0)</f>
        <v/>
      </c>
    </row>
    <row r="163" ht="15" customHeight="1" s="5">
      <c r="Q163" s="4">
        <f>SUM(G163:P163)</f>
        <v/>
      </c>
      <c r="R163" s="4">
        <f>Q163/10</f>
        <v/>
      </c>
      <c r="S163" s="4">
        <f>RANK(R163,R$2:R$201,0)</f>
        <v/>
      </c>
    </row>
    <row r="164" ht="15" customHeight="1" s="5">
      <c r="Q164" s="4">
        <f>SUM(G164:P164)</f>
        <v/>
      </c>
      <c r="R164" s="4">
        <f>Q164/10</f>
        <v/>
      </c>
      <c r="S164" s="4">
        <f>RANK(R164,R$2:R$201,0)</f>
        <v/>
      </c>
    </row>
    <row r="165" ht="15" customHeight="1" s="5">
      <c r="Q165" s="4">
        <f>SUM(G165:P165)</f>
        <v/>
      </c>
      <c r="R165" s="4">
        <f>Q165/10</f>
        <v/>
      </c>
      <c r="S165" s="4">
        <f>RANK(R165,R$2:R$201,0)</f>
        <v/>
      </c>
    </row>
    <row r="166" ht="15" customHeight="1" s="5">
      <c r="Q166" s="4">
        <f>SUM(G166:P166)</f>
        <v/>
      </c>
      <c r="R166" s="4">
        <f>Q166/10</f>
        <v/>
      </c>
      <c r="S166" s="4">
        <f>RANK(R166,R$2:R$201,0)</f>
        <v/>
      </c>
    </row>
    <row r="167" ht="15" customHeight="1" s="5">
      <c r="Q167" s="4">
        <f>SUM(G167:P167)</f>
        <v/>
      </c>
      <c r="R167" s="4">
        <f>Q167/10</f>
        <v/>
      </c>
      <c r="S167" s="4">
        <f>RANK(R167,R$2:R$201,0)</f>
        <v/>
      </c>
    </row>
    <row r="168" ht="15" customHeight="1" s="5">
      <c r="Q168" s="4">
        <f>SUM(G168:P168)</f>
        <v/>
      </c>
      <c r="R168" s="4">
        <f>Q168/10</f>
        <v/>
      </c>
      <c r="S168" s="4">
        <f>RANK(R168,R$2:R$201,0)</f>
        <v/>
      </c>
    </row>
    <row r="169" ht="15" customHeight="1" s="5">
      <c r="Q169" s="4">
        <f>SUM(G169:P169)</f>
        <v/>
      </c>
      <c r="R169" s="4">
        <f>Q169/10</f>
        <v/>
      </c>
      <c r="S169" s="4">
        <f>RANK(R169,R$2:R$201,0)</f>
        <v/>
      </c>
    </row>
    <row r="170" ht="15" customHeight="1" s="5">
      <c r="Q170" s="4">
        <f>SUM(G170:P170)</f>
        <v/>
      </c>
      <c r="R170" s="4">
        <f>Q170/10</f>
        <v/>
      </c>
      <c r="S170" s="4">
        <f>RANK(R170,R$2:R$201,0)</f>
        <v/>
      </c>
    </row>
    <row r="171" ht="15" customHeight="1" s="5">
      <c r="Q171" s="4">
        <f>SUM(G171:P171)</f>
        <v/>
      </c>
      <c r="R171" s="4">
        <f>Q171/10</f>
        <v/>
      </c>
      <c r="S171" s="4">
        <f>RANK(R171,R$2:R$201,0)</f>
        <v/>
      </c>
    </row>
    <row r="172" ht="15" customHeight="1" s="5">
      <c r="Q172" s="4">
        <f>SUM(G172:P172)</f>
        <v/>
      </c>
      <c r="R172" s="4">
        <f>Q172/10</f>
        <v/>
      </c>
      <c r="S172" s="4">
        <f>RANK(R172,R$2:R$201,0)</f>
        <v/>
      </c>
    </row>
    <row r="173" ht="15" customHeight="1" s="5">
      <c r="Q173" s="4">
        <f>SUM(G173:P173)</f>
        <v/>
      </c>
      <c r="R173" s="4">
        <f>Q173/10</f>
        <v/>
      </c>
      <c r="S173" s="4">
        <f>RANK(R173,R$2:R$201,0)</f>
        <v/>
      </c>
    </row>
    <row r="174" ht="15" customHeight="1" s="5">
      <c r="Q174" s="4">
        <f>SUM(G174:P174)</f>
        <v/>
      </c>
      <c r="R174" s="4">
        <f>Q174/10</f>
        <v/>
      </c>
      <c r="S174" s="4">
        <f>RANK(R174,R$2:R$201,0)</f>
        <v/>
      </c>
    </row>
    <row r="175" ht="15" customHeight="1" s="5">
      <c r="Q175" s="4">
        <f>SUM(G175:P175)</f>
        <v/>
      </c>
      <c r="R175" s="4">
        <f>Q175/10</f>
        <v/>
      </c>
      <c r="S175" s="4">
        <f>RANK(R175,R$2:R$201,0)</f>
        <v/>
      </c>
    </row>
    <row r="176" ht="15" customHeight="1" s="5">
      <c r="Q176" s="4">
        <f>SUM(G176:P176)</f>
        <v/>
      </c>
      <c r="R176" s="4">
        <f>Q176/10</f>
        <v/>
      </c>
      <c r="S176" s="4">
        <f>RANK(R176,R$2:R$201,0)</f>
        <v/>
      </c>
    </row>
    <row r="177" ht="15" customHeight="1" s="5">
      <c r="Q177" s="4">
        <f>SUM(G177:P177)</f>
        <v/>
      </c>
      <c r="R177" s="4">
        <f>Q177/10</f>
        <v/>
      </c>
      <c r="S177" s="4">
        <f>RANK(R177,R$2:R$201,0)</f>
        <v/>
      </c>
    </row>
    <row r="178" ht="15" customHeight="1" s="5">
      <c r="Q178" s="4">
        <f>SUM(G178:P178)</f>
        <v/>
      </c>
      <c r="R178" s="4">
        <f>Q178/10</f>
        <v/>
      </c>
      <c r="S178" s="4">
        <f>RANK(R178,R$2:R$201,0)</f>
        <v/>
      </c>
    </row>
    <row r="179" ht="15" customHeight="1" s="5">
      <c r="Q179" s="4">
        <f>SUM(G179:P179)</f>
        <v/>
      </c>
      <c r="R179" s="4">
        <f>Q179/10</f>
        <v/>
      </c>
      <c r="S179" s="4">
        <f>RANK(R179,R$2:R$201,0)</f>
        <v/>
      </c>
    </row>
    <row r="180" ht="15" customHeight="1" s="5">
      <c r="Q180" s="4">
        <f>SUM(G180:P180)</f>
        <v/>
      </c>
      <c r="R180" s="4">
        <f>Q180/10</f>
        <v/>
      </c>
      <c r="S180" s="4">
        <f>RANK(R180,R$2:R$201,0)</f>
        <v/>
      </c>
    </row>
    <row r="181" ht="15" customHeight="1" s="5">
      <c r="Q181" s="4">
        <f>SUM(G181:P181)</f>
        <v/>
      </c>
      <c r="R181" s="4">
        <f>Q181/10</f>
        <v/>
      </c>
      <c r="S181" s="4">
        <f>RANK(R181,R$2:R$201,0)</f>
        <v/>
      </c>
    </row>
    <row r="182" ht="15" customHeight="1" s="5">
      <c r="Q182" s="4">
        <f>SUM(G182:P182)</f>
        <v/>
      </c>
      <c r="R182" s="4">
        <f>Q182/10</f>
        <v/>
      </c>
      <c r="S182" s="4">
        <f>RANK(R182,R$2:R$201,0)</f>
        <v/>
      </c>
    </row>
    <row r="183" ht="15" customHeight="1" s="5">
      <c r="Q183" s="4">
        <f>SUM(G183:P183)</f>
        <v/>
      </c>
      <c r="R183" s="4">
        <f>Q183/10</f>
        <v/>
      </c>
      <c r="S183" s="4">
        <f>RANK(R183,R$2:R$201,0)</f>
        <v/>
      </c>
    </row>
    <row r="184" ht="15" customHeight="1" s="5">
      <c r="Q184" s="4">
        <f>SUM(G184:P184)</f>
        <v/>
      </c>
      <c r="R184" s="4">
        <f>Q184/10</f>
        <v/>
      </c>
      <c r="S184" s="4">
        <f>RANK(R184,R$2:R$201,0)</f>
        <v/>
      </c>
    </row>
    <row r="185" ht="15" customHeight="1" s="5">
      <c r="Q185" s="4">
        <f>SUM(G185:P185)</f>
        <v/>
      </c>
      <c r="R185" s="4">
        <f>Q185/10</f>
        <v/>
      </c>
      <c r="S185" s="4">
        <f>RANK(R185,R$2:R$201,0)</f>
        <v/>
      </c>
    </row>
    <row r="186" ht="15" customHeight="1" s="5">
      <c r="Q186" s="4">
        <f>SUM(G186:P186)</f>
        <v/>
      </c>
      <c r="R186" s="4">
        <f>Q186/10</f>
        <v/>
      </c>
      <c r="S186" s="4">
        <f>RANK(R186,R$2:R$201,0)</f>
        <v/>
      </c>
    </row>
    <row r="187" ht="15" customHeight="1" s="5">
      <c r="Q187" s="4">
        <f>SUM(G187:P187)</f>
        <v/>
      </c>
      <c r="R187" s="4">
        <f>Q187/10</f>
        <v/>
      </c>
      <c r="S187" s="4">
        <f>RANK(R187,R$2:R$201,0)</f>
        <v/>
      </c>
    </row>
    <row r="188" ht="15" customHeight="1" s="5">
      <c r="Q188" s="4">
        <f>SUM(G188:P188)</f>
        <v/>
      </c>
      <c r="R188" s="4">
        <f>Q188/10</f>
        <v/>
      </c>
      <c r="S188" s="4">
        <f>RANK(R188,R$2:R$201,0)</f>
        <v/>
      </c>
    </row>
    <row r="189" ht="15" customHeight="1" s="5">
      <c r="Q189" s="4">
        <f>SUM(G189:P189)</f>
        <v/>
      </c>
      <c r="R189" s="4">
        <f>Q189/10</f>
        <v/>
      </c>
      <c r="S189" s="4">
        <f>RANK(R189,R$2:R$201,0)</f>
        <v/>
      </c>
    </row>
    <row r="190" ht="15" customHeight="1" s="5">
      <c r="Q190" s="4">
        <f>SUM(G190:P190)</f>
        <v/>
      </c>
      <c r="R190" s="4">
        <f>Q190/10</f>
        <v/>
      </c>
      <c r="S190" s="4">
        <f>RANK(R190,R$2:R$201,0)</f>
        <v/>
      </c>
    </row>
    <row r="191" ht="15" customHeight="1" s="5">
      <c r="Q191" s="4">
        <f>SUM(G191:P191)</f>
        <v/>
      </c>
      <c r="R191" s="4">
        <f>Q191/10</f>
        <v/>
      </c>
      <c r="S191" s="4">
        <f>RANK(R191,R$2:R$201,0)</f>
        <v/>
      </c>
    </row>
    <row r="192" ht="15" customHeight="1" s="5">
      <c r="Q192" s="4">
        <f>SUM(G192:P192)</f>
        <v/>
      </c>
      <c r="R192" s="4">
        <f>Q192/10</f>
        <v/>
      </c>
      <c r="S192" s="4">
        <f>RANK(R192,R$2:R$201,0)</f>
        <v/>
      </c>
    </row>
    <row r="193" ht="15" customHeight="1" s="5">
      <c r="Q193" s="4">
        <f>SUM(G193:P193)</f>
        <v/>
      </c>
      <c r="R193" s="4">
        <f>Q193/10</f>
        <v/>
      </c>
      <c r="S193" s="4">
        <f>RANK(R193,R$2:R$201,0)</f>
        <v/>
      </c>
    </row>
    <row r="194" ht="15" customHeight="1" s="5">
      <c r="Q194" s="4">
        <f>SUM(G194:P194)</f>
        <v/>
      </c>
      <c r="R194" s="4">
        <f>Q194/10</f>
        <v/>
      </c>
      <c r="S194" s="4">
        <f>RANK(R194,R$2:R$201,0)</f>
        <v/>
      </c>
    </row>
    <row r="195" ht="15" customHeight="1" s="5">
      <c r="Q195" s="4">
        <f>SUM(G195:P195)</f>
        <v/>
      </c>
      <c r="R195" s="4">
        <f>Q195/10</f>
        <v/>
      </c>
      <c r="S195" s="4">
        <f>RANK(R195,R$2:R$201,0)</f>
        <v/>
      </c>
    </row>
    <row r="196" ht="15" customHeight="1" s="5">
      <c r="Q196" s="4">
        <f>SUM(G196:P196)</f>
        <v/>
      </c>
      <c r="R196" s="4">
        <f>Q196/10</f>
        <v/>
      </c>
      <c r="S196" s="4">
        <f>RANK(R196,R$2:R$201,0)</f>
        <v/>
      </c>
    </row>
    <row r="197" ht="15" customHeight="1" s="5">
      <c r="Q197" s="4">
        <f>SUM(G197:P197)</f>
        <v/>
      </c>
      <c r="R197" s="4">
        <f>Q197/10</f>
        <v/>
      </c>
      <c r="S197" s="4">
        <f>RANK(R197,R$2:R$201,0)</f>
        <v/>
      </c>
    </row>
    <row r="198" ht="15" customHeight="1" s="5">
      <c r="Q198" s="4">
        <f>SUM(G198:P198)</f>
        <v/>
      </c>
      <c r="R198" s="4">
        <f>Q198/10</f>
        <v/>
      </c>
      <c r="S198" s="4">
        <f>RANK(R198,R$2:R$201,0)</f>
        <v/>
      </c>
    </row>
    <row r="199" ht="15" customHeight="1" s="5">
      <c r="Q199" s="4">
        <f>SUM(G199:P199)</f>
        <v/>
      </c>
      <c r="R199" s="4">
        <f>Q199/10</f>
        <v/>
      </c>
      <c r="S199" s="4">
        <f>RANK(R199,R$2:R$201,0)</f>
        <v/>
      </c>
    </row>
    <row r="200" ht="15" customHeight="1" s="5">
      <c r="Q200" s="4">
        <f>SUM(G200:P200)</f>
        <v/>
      </c>
      <c r="R200" s="4">
        <f>Q200/10</f>
        <v/>
      </c>
      <c r="S200" s="4">
        <f>RANK(R200,R$2:R$201,0)</f>
        <v/>
      </c>
    </row>
    <row r="201" ht="15" customHeight="1" s="5">
      <c r="Q201" s="4">
        <f>SUM(G201:P201)</f>
        <v/>
      </c>
      <c r="R201" s="4">
        <f>Q201/10</f>
        <v/>
      </c>
      <c r="S201" s="4">
        <f>RANK(R201,R$2:R$201,0)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1"/>
  </cols>
  <sheetData>
    <row r="1" ht="28.3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ISIN</t>
        </is>
      </c>
      <c r="D1" s="6" t="inlineStr">
        <is>
          <t>CIK</t>
        </is>
      </c>
      <c r="E1" s="6" t="inlineStr">
        <is>
          <t>Exchange</t>
        </is>
      </c>
      <c r="F1" s="6" t="inlineStr">
        <is>
          <t>Sector</t>
        </is>
      </c>
      <c r="G1" s="6" t="inlineStr">
        <is>
          <t>Industry</t>
        </is>
      </c>
      <c r="H1" s="6" t="inlineStr">
        <is>
          <t>Country</t>
        </is>
      </c>
      <c r="I1" s="6" t="inlineStr">
        <is>
          <t>Currency</t>
        </is>
      </c>
      <c r="J1" s="6" t="inlineStr">
        <is>
          <t>Primary Source (Yahoo/SEC/M*)</t>
        </is>
      </c>
      <c r="K1" s="6" t="inlineStr">
        <is>
          <t>Include? (Y/N)</t>
        </is>
      </c>
    </row>
    <row r="2">
      <c r="A2" s="4" t="inlineStr">
        <is>
          <t>WLK</t>
        </is>
      </c>
      <c r="B2" s="4" t="inlineStr">
        <is>
          <t>Westlake Corporation</t>
        </is>
      </c>
      <c r="C2" s="4" t="inlineStr">
        <is>
          <t>-</t>
        </is>
      </c>
      <c r="D2" s="4" t="inlineStr"/>
      <c r="E2" s="4" t="inlineStr">
        <is>
          <t>NYQ</t>
        </is>
      </c>
      <c r="F2" s="4" t="inlineStr">
        <is>
          <t>Basic Materials</t>
        </is>
      </c>
      <c r="G2" s="4" t="inlineStr">
        <is>
          <t>Specialty Chemicals</t>
        </is>
      </c>
      <c r="H2" s="4" t="inlineStr">
        <is>
          <t>United States</t>
        </is>
      </c>
      <c r="I2" s="4" t="inlineStr">
        <is>
          <t>USD</t>
        </is>
      </c>
    </row>
    <row r="3">
      <c r="A3" s="4" t="inlineStr">
        <is>
          <t>ARW</t>
        </is>
      </c>
      <c r="B3" s="4" t="inlineStr">
        <is>
          <t>Arrow Electronics, Inc.</t>
        </is>
      </c>
      <c r="C3" s="4" t="inlineStr">
        <is>
          <t>US0427351004</t>
        </is>
      </c>
      <c r="D3" s="4" t="inlineStr"/>
      <c r="E3" s="4" t="inlineStr">
        <is>
          <t>NYQ</t>
        </is>
      </c>
      <c r="F3" s="4" t="inlineStr">
        <is>
          <t>Technology</t>
        </is>
      </c>
      <c r="G3" s="4" t="inlineStr">
        <is>
          <t>Electronics &amp; Computer Distribution</t>
        </is>
      </c>
      <c r="H3" s="4" t="inlineStr">
        <is>
          <t>United States</t>
        </is>
      </c>
      <c r="I3" s="4" t="inlineStr">
        <is>
          <t>USD</t>
        </is>
      </c>
    </row>
    <row r="4">
      <c r="A4" s="4" t="inlineStr">
        <is>
          <t>TSN</t>
        </is>
      </c>
      <c r="B4" s="4" t="inlineStr">
        <is>
          <t>Tyson Foods, Inc.</t>
        </is>
      </c>
      <c r="C4" s="4" t="inlineStr">
        <is>
          <t>US9024941034</t>
        </is>
      </c>
      <c r="D4" s="4" t="inlineStr"/>
      <c r="E4" s="4" t="inlineStr">
        <is>
          <t>NYQ</t>
        </is>
      </c>
      <c r="F4" s="4" t="inlineStr">
        <is>
          <t>Consumer Defensive</t>
        </is>
      </c>
      <c r="G4" s="4" t="inlineStr">
        <is>
          <t>Farm Products</t>
        </is>
      </c>
      <c r="H4" s="4" t="inlineStr">
        <is>
          <t>United States</t>
        </is>
      </c>
      <c r="I4" s="4" t="inlineStr">
        <is>
          <t>USD</t>
        </is>
      </c>
    </row>
    <row r="5">
      <c r="A5" s="4" t="inlineStr">
        <is>
          <t>BIIB</t>
        </is>
      </c>
      <c r="B5" s="4" t="inlineStr">
        <is>
          <t>Biogen Inc.</t>
        </is>
      </c>
      <c r="C5" s="4" t="inlineStr">
        <is>
          <t>US09062X1037</t>
        </is>
      </c>
      <c r="D5" s="4" t="inlineStr"/>
      <c r="E5" s="4" t="inlineStr">
        <is>
          <t>NMS</t>
        </is>
      </c>
      <c r="F5" s="4" t="inlineStr">
        <is>
          <t>Healthcare</t>
        </is>
      </c>
      <c r="G5" s="4" t="inlineStr">
        <is>
          <t>Drug Manufacturers - General</t>
        </is>
      </c>
      <c r="H5" s="4" t="inlineStr">
        <is>
          <t>United States</t>
        </is>
      </c>
      <c r="I5" s="4" t="inlineStr">
        <is>
          <t>USD</t>
        </is>
      </c>
    </row>
    <row r="6">
      <c r="A6" s="4" t="inlineStr">
        <is>
          <t>DD</t>
        </is>
      </c>
      <c r="B6" s="4" t="inlineStr">
        <is>
          <t>DuPont de Nemours, Inc.</t>
        </is>
      </c>
      <c r="C6" s="4" t="inlineStr">
        <is>
          <t>-</t>
        </is>
      </c>
      <c r="D6" s="4" t="inlineStr"/>
      <c r="E6" s="4" t="inlineStr">
        <is>
          <t>NYQ</t>
        </is>
      </c>
      <c r="F6" s="4" t="inlineStr">
        <is>
          <t>Basic Materials</t>
        </is>
      </c>
      <c r="G6" s="4" t="inlineStr">
        <is>
          <t>Specialty Chemicals</t>
        </is>
      </c>
      <c r="H6" s="4" t="inlineStr">
        <is>
          <t>United States</t>
        </is>
      </c>
      <c r="I6" s="4" t="inlineStr">
        <is>
          <t>USD</t>
        </is>
      </c>
    </row>
    <row r="7">
      <c r="A7" s="4" t="inlineStr">
        <is>
          <t>ELV</t>
        </is>
      </c>
      <c r="B7" s="4" t="inlineStr">
        <is>
          <t>Elevance Health, Inc.</t>
        </is>
      </c>
      <c r="C7" s="4" t="inlineStr">
        <is>
          <t>US0367521038</t>
        </is>
      </c>
      <c r="D7" s="4" t="inlineStr"/>
      <c r="E7" s="4" t="inlineStr">
        <is>
          <t>NYQ</t>
        </is>
      </c>
      <c r="F7" s="4" t="inlineStr">
        <is>
          <t>Healthcare</t>
        </is>
      </c>
      <c r="G7" s="4" t="inlineStr">
        <is>
          <t>Healthcare Plans</t>
        </is>
      </c>
      <c r="H7" s="4" t="inlineStr">
        <is>
          <t>United States</t>
        </is>
      </c>
      <c r="I7" s="4" t="inlineStr">
        <is>
          <t>USD</t>
        </is>
      </c>
    </row>
    <row r="8">
      <c r="A8" s="4" t="inlineStr">
        <is>
          <t>KMX</t>
        </is>
      </c>
      <c r="B8" s="4" t="inlineStr">
        <is>
          <t>CarMax, Inc.</t>
        </is>
      </c>
      <c r="C8" s="4" t="inlineStr">
        <is>
          <t>US1431301027</t>
        </is>
      </c>
      <c r="D8" s="4" t="inlineStr"/>
      <c r="E8" s="4" t="inlineStr">
        <is>
          <t>NYQ</t>
        </is>
      </c>
      <c r="F8" s="4" t="inlineStr">
        <is>
          <t>Consumer Cyclical</t>
        </is>
      </c>
      <c r="G8" s="4" t="inlineStr">
        <is>
          <t>Auto &amp; Truck Dealerships</t>
        </is>
      </c>
      <c r="H8" s="4" t="inlineStr">
        <is>
          <t>United States</t>
        </is>
      </c>
      <c r="I8" s="4" t="inlineStr">
        <is>
          <t>USD</t>
        </is>
      </c>
    </row>
    <row r="9">
      <c r="A9" s="4" t="inlineStr">
        <is>
          <t>HUM</t>
        </is>
      </c>
      <c r="B9" s="4" t="inlineStr">
        <is>
          <t>Humana Inc.</t>
        </is>
      </c>
      <c r="C9" s="4" t="inlineStr">
        <is>
          <t>US4448591028</t>
        </is>
      </c>
      <c r="D9" s="4" t="inlineStr"/>
      <c r="E9" s="4" t="inlineStr">
        <is>
          <t>NYQ</t>
        </is>
      </c>
      <c r="F9" s="4" t="inlineStr">
        <is>
          <t>Healthcare</t>
        </is>
      </c>
      <c r="G9" s="4" t="inlineStr">
        <is>
          <t>Healthcare Plans</t>
        </is>
      </c>
      <c r="H9" s="4" t="inlineStr">
        <is>
          <t>United States</t>
        </is>
      </c>
      <c r="I9" s="4" t="inlineStr">
        <is>
          <t>USD</t>
        </is>
      </c>
    </row>
    <row r="10">
      <c r="A10" s="4" t="inlineStr">
        <is>
          <t>MOH</t>
        </is>
      </c>
      <c r="B10" s="4" t="inlineStr">
        <is>
          <t>Molina Healthcare, Inc.</t>
        </is>
      </c>
      <c r="C10" s="4" t="inlineStr">
        <is>
          <t>-</t>
        </is>
      </c>
      <c r="D10" s="4" t="inlineStr"/>
      <c r="E10" s="4" t="inlineStr">
        <is>
          <t>NYQ</t>
        </is>
      </c>
      <c r="F10" s="4" t="inlineStr">
        <is>
          <t>Healthcare</t>
        </is>
      </c>
      <c r="G10" s="4" t="inlineStr">
        <is>
          <t>Healthcare Plans</t>
        </is>
      </c>
      <c r="H10" s="4" t="inlineStr">
        <is>
          <t>United States</t>
        </is>
      </c>
      <c r="I10" s="4" t="inlineStr">
        <is>
          <t>USD</t>
        </is>
      </c>
    </row>
    <row r="11">
      <c r="A11" s="4" t="inlineStr">
        <is>
          <t>INTC</t>
        </is>
      </c>
      <c r="B11" s="4" t="inlineStr">
        <is>
          <t>Intel Corporation</t>
        </is>
      </c>
      <c r="C11" s="4" t="inlineStr">
        <is>
          <t>CNE100000G29</t>
        </is>
      </c>
      <c r="D11" s="4" t="inlineStr"/>
      <c r="E11" s="4" t="inlineStr">
        <is>
          <t>NMS</t>
        </is>
      </c>
      <c r="F11" s="4" t="inlineStr">
        <is>
          <t>Technology</t>
        </is>
      </c>
      <c r="G11" s="4" t="inlineStr">
        <is>
          <t>Semiconductors</t>
        </is>
      </c>
      <c r="H11" s="4" t="inlineStr">
        <is>
          <t>United States</t>
        </is>
      </c>
      <c r="I11" s="4" t="inlineStr">
        <is>
          <t>USD</t>
        </is>
      </c>
    </row>
    <row r="12">
      <c r="A12" s="4" t="inlineStr">
        <is>
          <t>GOOG</t>
        </is>
      </c>
      <c r="B12" s="4" t="inlineStr">
        <is>
          <t>Alphabet Inc.</t>
        </is>
      </c>
      <c r="C12" s="4" t="inlineStr">
        <is>
          <t>CA02080M1005</t>
        </is>
      </c>
      <c r="D12" s="4" t="inlineStr"/>
      <c r="E12" s="4" t="inlineStr">
        <is>
          <t>NMS</t>
        </is>
      </c>
      <c r="F12" s="4" t="inlineStr">
        <is>
          <t>Communication Services</t>
        </is>
      </c>
      <c r="G12" s="4" t="inlineStr">
        <is>
          <t>Internet Content &amp; Information</t>
        </is>
      </c>
      <c r="H12" s="4" t="inlineStr">
        <is>
          <t>United States</t>
        </is>
      </c>
      <c r="I12" s="4" t="inlineStr">
        <is>
          <t>USD</t>
        </is>
      </c>
    </row>
    <row r="13">
      <c r="A13" s="4" t="inlineStr">
        <is>
          <t>AMZN</t>
        </is>
      </c>
      <c r="B13" s="4" t="inlineStr">
        <is>
          <t>Amazon.com, Inc.</t>
        </is>
      </c>
      <c r="C13" s="4" t="inlineStr">
        <is>
          <t>-</t>
        </is>
      </c>
      <c r="D13" s="4" t="inlineStr"/>
      <c r="E13" s="4" t="inlineStr">
        <is>
          <t>NMS</t>
        </is>
      </c>
      <c r="F13" s="4" t="inlineStr">
        <is>
          <t>Consumer Cyclical</t>
        </is>
      </c>
      <c r="G13" s="4" t="inlineStr">
        <is>
          <t>Internet Retail</t>
        </is>
      </c>
      <c r="H13" s="4" t="inlineStr">
        <is>
          <t>United States</t>
        </is>
      </c>
      <c r="I13" s="4" t="inlineStr">
        <is>
          <t>USD</t>
        </is>
      </c>
    </row>
    <row r="14">
      <c r="A14" s="4" t="inlineStr">
        <is>
          <t>META</t>
        </is>
      </c>
      <c r="B14" s="4" t="inlineStr">
        <is>
          <t>Meta Platforms, Inc.</t>
        </is>
      </c>
      <c r="C14" s="4" t="inlineStr">
        <is>
          <t>US30303M1027</t>
        </is>
      </c>
      <c r="D14" s="4" t="inlineStr"/>
      <c r="E14" s="4" t="inlineStr">
        <is>
          <t>NMS</t>
        </is>
      </c>
      <c r="F14" s="4" t="inlineStr">
        <is>
          <t>Communication Services</t>
        </is>
      </c>
      <c r="G14" s="4" t="inlineStr">
        <is>
          <t>Internet Content &amp; Information</t>
        </is>
      </c>
      <c r="H14" s="4" t="inlineStr">
        <is>
          <t>United States</t>
        </is>
      </c>
      <c r="I14" s="4" t="inlineStr">
        <is>
          <t>USD</t>
        </is>
      </c>
    </row>
    <row r="15">
      <c r="A15" s="4" t="inlineStr">
        <is>
          <t>TSLA</t>
        </is>
      </c>
      <c r="B15" s="4" t="inlineStr">
        <is>
          <t>Tesla, Inc.</t>
        </is>
      </c>
      <c r="C15" s="4" t="inlineStr">
        <is>
          <t>-</t>
        </is>
      </c>
      <c r="D15" s="4" t="inlineStr"/>
      <c r="E15" s="4" t="inlineStr">
        <is>
          <t>NMS</t>
        </is>
      </c>
      <c r="F15" s="4" t="inlineStr">
        <is>
          <t>Consumer Cyclical</t>
        </is>
      </c>
      <c r="G15" s="4" t="inlineStr">
        <is>
          <t>Auto Manufacturers</t>
        </is>
      </c>
      <c r="H15" s="4" t="inlineStr">
        <is>
          <t>United States</t>
        </is>
      </c>
      <c r="I15" s="4" t="inlineStr">
        <is>
          <t>USD</t>
        </is>
      </c>
    </row>
    <row r="16">
      <c r="A16" s="4" t="inlineStr">
        <is>
          <t>NVDA</t>
        </is>
      </c>
      <c r="B16" s="4" t="inlineStr">
        <is>
          <t>NVIDIA Corporation</t>
        </is>
      </c>
      <c r="C16" s="4" t="inlineStr">
        <is>
          <t>-</t>
        </is>
      </c>
      <c r="D16" s="4" t="inlineStr"/>
      <c r="E16" s="4" t="inlineStr">
        <is>
          <t>NMS</t>
        </is>
      </c>
      <c r="F16" s="4" t="inlineStr">
        <is>
          <t>Technology</t>
        </is>
      </c>
      <c r="G16" s="4" t="inlineStr">
        <is>
          <t>Semiconductors</t>
        </is>
      </c>
      <c r="H16" s="4" t="inlineStr">
        <is>
          <t>United States</t>
        </is>
      </c>
      <c r="I16" s="4" t="inlineStr">
        <is>
          <t>USD</t>
        </is>
      </c>
    </row>
    <row r="17">
      <c r="A17" s="4" t="inlineStr">
        <is>
          <t>AAPL</t>
        </is>
      </c>
      <c r="B17" s="4" t="inlineStr">
        <is>
          <t>Apple Inc.</t>
        </is>
      </c>
      <c r="C17" s="4" t="inlineStr">
        <is>
          <t>US0378331005</t>
        </is>
      </c>
      <c r="D17" s="4" t="inlineStr"/>
      <c r="E17" s="4" t="inlineStr">
        <is>
          <t>NMS</t>
        </is>
      </c>
      <c r="F17" s="4" t="inlineStr">
        <is>
          <t>Technology</t>
        </is>
      </c>
      <c r="G17" s="4" t="inlineStr">
        <is>
          <t>Consumer Electronics</t>
        </is>
      </c>
      <c r="H17" s="4" t="inlineStr">
        <is>
          <t>United States</t>
        </is>
      </c>
      <c r="I17" s="4" t="inlineStr">
        <is>
          <t>USD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20"/>
  </cols>
  <sheetData>
    <row r="1" ht="41.7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Segment Count</t>
        </is>
      </c>
      <c r="D1" s="6" t="inlineStr">
        <is>
          <t>Segments (List)</t>
        </is>
      </c>
      <c r="E1" s="6" t="inlineStr">
        <is>
          <t>Rev by Top Segment (%)</t>
        </is>
      </c>
      <c r="F1" s="6" t="inlineStr">
        <is>
          <t>Rev by Top 2 Segments (%)</t>
        </is>
      </c>
      <c r="G1" s="6" t="inlineStr">
        <is>
          <t>Geographic Count</t>
        </is>
      </c>
      <c r="H1" s="6" t="inlineStr">
        <is>
          <t>Top Geography (%)</t>
        </is>
      </c>
      <c r="I1" s="6" t="inlineStr">
        <is>
          <t>Business Model (one-liner)</t>
        </is>
      </c>
      <c r="J1" s="6" t="inlineStr">
        <is>
          <t>Complexity Flags (Derivatives/Regs/Banking/Insurance)</t>
        </is>
      </c>
      <c r="K1" s="6" t="inlineStr">
        <is>
          <t>Accounting Complexity (Y/N)</t>
        </is>
      </c>
      <c r="L1" s="6" t="inlineStr">
        <is>
          <t>Off-Balance Exposures (Y/N)</t>
        </is>
      </c>
      <c r="M1" s="6" t="inlineStr">
        <is>
          <t>Products (Few/Many)</t>
        </is>
      </c>
      <c r="N1" s="6" t="inlineStr">
        <is>
          <t>Customers (Concentrated/Fragmented)</t>
        </is>
      </c>
      <c r="O1" s="6" t="inlineStr">
        <is>
          <t>Supplier Concentration (Y/N)</t>
        </is>
      </c>
      <c r="P1" s="6" t="inlineStr">
        <is>
          <t>Channel Complexity (Y/N)</t>
        </is>
      </c>
      <c r="Q1" s="6" t="inlineStr">
        <is>
          <t>Notes</t>
        </is>
      </c>
      <c r="R1" s="6" t="inlineStr">
        <is>
          <t>Score (1-10)</t>
        </is>
      </c>
      <c r="S1" s="6" t="inlineStr">
        <is>
          <t>Source</t>
        </is>
      </c>
      <c r="T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6"/>
  </cols>
  <sheetData>
    <row r="1" ht="28.3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Founded Year</t>
        </is>
      </c>
      <c r="D1" s="6" t="inlineStr">
        <is>
          <t>IPO Year</t>
        </is>
      </c>
      <c r="E1" s="6" t="inlineStr">
        <is>
          <t>Years Since IPO</t>
        </is>
      </c>
      <c r="F1" s="6" t="inlineStr">
        <is>
          <t>Years of Profitability (last 10)</t>
        </is>
      </c>
      <c r="G1" s="6" t="inlineStr">
        <is>
          <t>Revenue 10Y CAGR (%)</t>
        </is>
      </c>
      <c r="H1" s="6" t="inlineStr">
        <is>
          <t>EPS 10Y CAGR (%)</t>
        </is>
      </c>
      <c r="I1" s="6" t="inlineStr">
        <is>
          <t>Rev Down Years (10Y)</t>
        </is>
      </c>
      <c r="J1" s="6" t="inlineStr">
        <is>
          <t>EPS Down Years (10Y)</t>
        </is>
      </c>
      <c r="K1" s="6" t="inlineStr">
        <is>
          <t>Restatements (Y/N)</t>
        </is>
      </c>
      <c r="L1" s="6" t="inlineStr">
        <is>
          <t>Major Strategy Pivots (Y/N)</t>
        </is>
      </c>
      <c r="M1" s="6" t="inlineStr">
        <is>
          <t>Notes</t>
        </is>
      </c>
      <c r="N1" s="6" t="inlineStr">
        <is>
          <t>Score (1-10)</t>
        </is>
      </c>
      <c r="O1" s="6" t="inlineStr">
        <is>
          <t>Source</t>
        </is>
      </c>
      <c r="P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9"/>
  </cols>
  <sheetData>
    <row r="1" ht="55.2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Moat Type (Brand/Cost/Switching/Network/Regulatory)</t>
        </is>
      </c>
      <c r="D1" s="6" t="inlineStr">
        <is>
          <t>5Y Avg ROE (%)</t>
        </is>
      </c>
      <c r="E1" s="6" t="inlineStr">
        <is>
          <t>5Y Avg ROIC (%)</t>
        </is>
      </c>
      <c r="F1" s="6" t="inlineStr">
        <is>
          <t>5Y Avg Gross Margin (%)</t>
        </is>
      </c>
      <c r="G1" s="6" t="inlineStr">
        <is>
          <t>5Y Avg Operating Margin (%)</t>
        </is>
      </c>
      <c r="H1" s="6" t="inlineStr">
        <is>
          <t>Market Share (%)</t>
        </is>
      </c>
      <c r="I1" s="6" t="inlineStr">
        <is>
          <t>Market Share Trend (Up/Flat/Down)</t>
        </is>
      </c>
      <c r="J1" s="6" t="inlineStr">
        <is>
          <t>Pricing Power Evidence (Y/N)</t>
        </is>
      </c>
      <c r="K1" s="6" t="inlineStr">
        <is>
          <t>Patents/IP (Y/N)</t>
        </is>
      </c>
      <c r="L1" s="6" t="inlineStr">
        <is>
          <t>High Switching Costs (Y/N)</t>
        </is>
      </c>
      <c r="M1" s="6" t="inlineStr">
        <is>
          <t>Cost Advantage (Y/N)</t>
        </is>
      </c>
      <c r="N1" s="6" t="inlineStr">
        <is>
          <t>Network Effects (Y/N)</t>
        </is>
      </c>
      <c r="O1" s="6" t="inlineStr">
        <is>
          <t>Reg/License Moat (Y/N)</t>
        </is>
      </c>
      <c r="P1" s="6" t="inlineStr">
        <is>
          <t>Notes</t>
        </is>
      </c>
      <c r="Q1" s="6" t="inlineStr">
        <is>
          <t>Score (1-10)</t>
        </is>
      </c>
      <c r="R1" s="6" t="inlineStr">
        <is>
          <t>Source</t>
        </is>
      </c>
      <c r="S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8"/>
  </cols>
  <sheetData>
    <row r="1" ht="41.7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CEO Tenure (yrs)</t>
        </is>
      </c>
      <c r="D1" s="6" t="inlineStr">
        <is>
          <t>CFO Tenure (yrs)</t>
        </is>
      </c>
      <c r="E1" s="6" t="inlineStr">
        <is>
          <t>Insider Ownership (%)</t>
        </is>
      </c>
      <c r="F1" s="6" t="inlineStr">
        <is>
          <t>Compensation Alignment (ROIC/EPS/FCF?)</t>
        </is>
      </c>
      <c r="G1" s="6" t="inlineStr">
        <is>
          <t>Capital Allocation Letters (Y/N)</t>
        </is>
      </c>
      <c r="H1" s="6" t="inlineStr">
        <is>
          <t>Disclosure Quality (High/Med/Low)</t>
        </is>
      </c>
      <c r="I1" s="6" t="inlineStr">
        <is>
          <t>Related-Party Risks (Y/N)</t>
        </is>
      </c>
      <c r="J1" s="6" t="inlineStr">
        <is>
          <t>Accounting Conservatism (High/Med/Low)</t>
        </is>
      </c>
      <c r="K1" s="6" t="inlineStr">
        <is>
          <t>Share Count 5Y Change (%)</t>
        </is>
      </c>
      <c r="L1" s="6" t="inlineStr">
        <is>
          <t>Buybacks Below IV? (Y/N)</t>
        </is>
      </c>
      <c r="M1" s="6" t="inlineStr">
        <is>
          <t>M&amp;A Discipline (Good/Mixed/Poor)</t>
        </is>
      </c>
      <c r="N1" s="6" t="inlineStr">
        <is>
          <t>Dividend Policy (None/Steady/Growing/Cut)</t>
        </is>
      </c>
      <c r="O1" s="6" t="inlineStr">
        <is>
          <t>Notes</t>
        </is>
      </c>
      <c r="P1" s="6" t="inlineStr">
        <is>
          <t>Score (1-10)</t>
        </is>
      </c>
      <c r="Q1" s="6" t="inlineStr">
        <is>
          <t>Source</t>
        </is>
      </c>
      <c r="R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2"/>
  </cols>
  <sheetData>
    <row r="1" ht="28.3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ROE TTM (%)</t>
        </is>
      </c>
      <c r="D1" s="6" t="inlineStr">
        <is>
          <t>ROE 5Y Avg (%)</t>
        </is>
      </c>
      <c r="E1" s="6" t="inlineStr">
        <is>
          <t>ROIC TTM (%)</t>
        </is>
      </c>
      <c r="F1" s="6" t="inlineStr">
        <is>
          <t>ROIC 5Y Avg (%)</t>
        </is>
      </c>
      <c r="G1" s="6" t="inlineStr">
        <is>
          <t>FCF Margin 5Y Avg (%)</t>
        </is>
      </c>
      <c r="H1" s="6" t="inlineStr">
        <is>
          <t>CapEx/Sales 5Y Avg (%)</t>
        </is>
      </c>
      <c r="I1" s="6" t="inlineStr">
        <is>
          <t>Notes</t>
        </is>
      </c>
      <c r="J1" s="6" t="inlineStr">
        <is>
          <t>Score (1-10)</t>
        </is>
      </c>
      <c r="K1" s="6" t="inlineStr">
        <is>
          <t>Source</t>
        </is>
      </c>
      <c r="L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4"/>
  </cols>
  <sheetData>
    <row r="1" ht="41.7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EPS 10Y StdDev</t>
        </is>
      </c>
      <c r="D1" s="6" t="inlineStr">
        <is>
          <t>EPS 10Y CAGR (%)</t>
        </is>
      </c>
      <c r="E1" s="6" t="inlineStr">
        <is>
          <t>Operating Margin 10Y Avg (%)</t>
        </is>
      </c>
      <c r="F1" s="6" t="inlineStr">
        <is>
          <t>Operating Margin 10Y StdDev</t>
        </is>
      </c>
      <c r="G1" s="6" t="inlineStr">
        <is>
          <t>Revenue 10Y StdDev</t>
        </is>
      </c>
      <c r="H1" s="6" t="inlineStr">
        <is>
          <t>Gross Margin Stability (High/Med/Low)</t>
        </is>
      </c>
      <c r="I1" s="6" t="inlineStr">
        <is>
          <t>Earnings Drawdown (Worst %)</t>
        </is>
      </c>
      <c r="J1" s="6" t="inlineStr">
        <is>
          <t>Guidance Accuracy (High/Med/Low)</t>
        </is>
      </c>
      <c r="K1" s="6" t="inlineStr">
        <is>
          <t>Notes</t>
        </is>
      </c>
      <c r="L1" s="6" t="inlineStr">
        <is>
          <t>Score (1-10)</t>
        </is>
      </c>
      <c r="M1" s="6" t="inlineStr">
        <is>
          <t>Source</t>
        </is>
      </c>
      <c r="N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4"/>
  </cols>
  <sheetData>
    <row r="1" ht="41.7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Shares Outstanding 5Y Δ (%)</t>
        </is>
      </c>
      <c r="D1" s="6" t="inlineStr">
        <is>
          <t>Net Buyback Yield (5Y Avg %)</t>
        </is>
      </c>
      <c r="E1" s="6" t="inlineStr">
        <is>
          <t>Dividend Payout Ratio 5Y Avg (%)</t>
        </is>
      </c>
      <c r="F1" s="6" t="inlineStr">
        <is>
          <t>Reinvestment Rate (FCF-&gt;CapEx/R&amp;D %)</t>
        </is>
      </c>
      <c r="G1" s="6" t="inlineStr">
        <is>
          <t>Acquisition Spend 5Y (USD)</t>
        </is>
      </c>
      <c r="H1" s="6" t="inlineStr">
        <is>
          <t>Post-M&amp;A ROIC (Est %)</t>
        </is>
      </c>
      <c r="I1" s="6" t="inlineStr">
        <is>
          <t>Debt Issuance vs FCF (5Y)</t>
        </is>
      </c>
      <c r="J1" s="6" t="inlineStr">
        <is>
          <t>Specials/One-offs (Y/N)</t>
        </is>
      </c>
      <c r="K1" s="6" t="inlineStr">
        <is>
          <t>Notes</t>
        </is>
      </c>
      <c r="L1" s="6" t="inlineStr">
        <is>
          <t>Score (1-10)</t>
        </is>
      </c>
      <c r="M1" s="6" t="inlineStr">
        <is>
          <t>Source</t>
        </is>
      </c>
      <c r="N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P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6"/>
  </cols>
  <sheetData>
    <row r="1" ht="28.3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Debt/Equity (TTM)</t>
        </is>
      </c>
      <c r="D1" s="6" t="inlineStr">
        <is>
          <t>Debt/Equity 5Y Avg</t>
        </is>
      </c>
      <c r="E1" s="6" t="inlineStr">
        <is>
          <t>Interest Coverage (EBIT/Int)</t>
        </is>
      </c>
      <c r="F1" s="6" t="inlineStr">
        <is>
          <t>Net Debt / EBITDA</t>
        </is>
      </c>
      <c r="G1" s="6" t="inlineStr">
        <is>
          <t>Cash &amp; Equivalents (USD)</t>
        </is>
      </c>
      <c r="H1" s="6" t="inlineStr">
        <is>
          <t>Debt Maturity &lt;2Y (USD)</t>
        </is>
      </c>
      <c r="I1" s="6" t="inlineStr">
        <is>
          <t>Debt Maturity 2–5Y (USD)</t>
        </is>
      </c>
      <c r="J1" s="6" t="inlineStr">
        <is>
          <t>Debt Maturity &gt;5Y (USD)</t>
        </is>
      </c>
      <c r="K1" s="6" t="inlineStr">
        <is>
          <t>Liquidity Facilities (Y/N)</t>
        </is>
      </c>
      <c r="L1" s="6" t="inlineStr">
        <is>
          <t>Covenant Headroom (Y/N)</t>
        </is>
      </c>
      <c r="M1" s="6" t="inlineStr">
        <is>
          <t>Notes</t>
        </is>
      </c>
      <c r="N1" s="6" t="inlineStr">
        <is>
          <t>Score (1-10)</t>
        </is>
      </c>
      <c r="O1" s="6" t="inlineStr">
        <is>
          <t>Source</t>
        </is>
      </c>
      <c r="P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Q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7"/>
  </cols>
  <sheetData>
    <row r="1" ht="41.7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Beta (5Y)</t>
        </is>
      </c>
      <c r="D1" s="6" t="inlineStr">
        <is>
          <t>Demand Type (Recurring/Discretionary)</t>
        </is>
      </c>
      <c r="E1" s="6" t="inlineStr">
        <is>
          <t>Op Margin 10Y StdDev</t>
        </is>
      </c>
      <c r="F1" s="6" t="inlineStr">
        <is>
          <t>Revenue Change in 2008-09 (%)</t>
        </is>
      </c>
      <c r="G1" s="6" t="inlineStr">
        <is>
          <t>Revenue Change in 2020 (%)</t>
        </is>
      </c>
      <c r="H1" s="6" t="inlineStr">
        <is>
          <t>EPS Change in 2008-09 (%)</t>
        </is>
      </c>
      <c r="I1" s="6" t="inlineStr">
        <is>
          <t>EPS Change in 2020 (%)</t>
        </is>
      </c>
      <c r="J1" s="6" t="inlineStr">
        <is>
          <t>Dividend Cuts in Crises (Y/N)</t>
        </is>
      </c>
      <c r="K1" s="6" t="inlineStr">
        <is>
          <t>Customer Diversification (High/Med/Low)</t>
        </is>
      </c>
      <c r="L1" s="6" t="inlineStr">
        <is>
          <t>Supply Chain Risk (High/Med/Low)</t>
        </is>
      </c>
      <c r="M1" s="6" t="inlineStr">
        <is>
          <t>Regulatory Sensitivity (High/Med/Low)</t>
        </is>
      </c>
      <c r="N1" s="6" t="inlineStr">
        <is>
          <t>Notes</t>
        </is>
      </c>
      <c r="O1" s="6" t="inlineStr">
        <is>
          <t>Score (1-10)</t>
        </is>
      </c>
      <c r="P1" s="6" t="inlineStr">
        <is>
          <t>Source</t>
        </is>
      </c>
      <c r="Q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Q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10"/>
    <col width="24" customWidth="1" style="4" min="11" max="17"/>
  </cols>
  <sheetData>
    <row r="1" ht="28.35" customHeight="1" s="5">
      <c r="A1" s="6" t="inlineStr">
        <is>
          <t>Ticker</t>
        </is>
      </c>
      <c r="B1" s="6" t="inlineStr">
        <is>
          <t>Company</t>
        </is>
      </c>
      <c r="C1" s="6" t="inlineStr">
        <is>
          <t>P/E (TTM)</t>
        </is>
      </c>
      <c r="D1" s="6" t="inlineStr">
        <is>
          <t>P/E 10Y Median</t>
        </is>
      </c>
      <c r="E1" s="6" t="inlineStr">
        <is>
          <t>P/B (MRQ)</t>
        </is>
      </c>
      <c r="F1" s="6" t="inlineStr">
        <is>
          <t>P/B 10Y Median</t>
        </is>
      </c>
      <c r="G1" s="6" t="inlineStr">
        <is>
          <t>EV/EBIT (TTM)</t>
        </is>
      </c>
      <c r="H1" s="6" t="inlineStr">
        <is>
          <t>EV/EBIT 10Y Median</t>
        </is>
      </c>
      <c r="I1" s="6" t="inlineStr">
        <is>
          <t>P/FCF (TTM)</t>
        </is>
      </c>
      <c r="J1" s="6" t="inlineStr">
        <is>
          <t>P/FCF 10Y Median</t>
        </is>
      </c>
      <c r="K1" s="6" t="inlineStr">
        <is>
          <t>Yield vs 10Y UST (bps)</t>
        </is>
      </c>
      <c r="L1" s="6" t="inlineStr">
        <is>
          <t>Implied IV Discount (%)</t>
        </is>
      </c>
      <c r="M1" s="6" t="inlineStr">
        <is>
          <t>Alt Fair Value (Morningstar/Guru)</t>
        </is>
      </c>
      <c r="N1" s="6" t="inlineStr">
        <is>
          <t>Notes</t>
        </is>
      </c>
      <c r="O1" s="6" t="inlineStr">
        <is>
          <t>Score (1-10)</t>
        </is>
      </c>
      <c r="P1" s="6" t="inlineStr">
        <is>
          <t>Source</t>
        </is>
      </c>
      <c r="Q1" s="6" t="inlineStr">
        <is>
          <t>Last Updated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4"/>
    <col width="24" customWidth="1" style="4" min="5" max="5"/>
  </cols>
  <sheetData>
    <row r="1" ht="28.35" customHeight="1" s="5">
      <c r="A1" s="6" t="inlineStr">
        <is>
          <t>Source Name</t>
        </is>
      </c>
      <c r="B1" s="6" t="inlineStr">
        <is>
          <t>URL or API</t>
        </is>
      </c>
      <c r="C1" s="6" t="inlineStr">
        <is>
          <t>Coverage (Which fields)</t>
        </is>
      </c>
      <c r="D1" s="6" t="inlineStr">
        <is>
          <t>Latency (Daily/Quarterly)</t>
        </is>
      </c>
      <c r="E1" s="6" t="inlineStr">
        <is>
          <t>License/Notes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" min="1" max="5"/>
    <col width="24" customWidth="1" style="4" min="6" max="6"/>
  </cols>
  <sheetData>
    <row r="1" ht="15" customHeight="1" s="5">
      <c r="A1" s="6" t="inlineStr">
        <is>
          <t>Field</t>
        </is>
      </c>
      <c r="B1" s="6" t="inlineStr">
        <is>
          <t>Definition</t>
        </is>
      </c>
      <c r="C1" s="6" t="inlineStr">
        <is>
          <t>Units/Format</t>
        </is>
      </c>
      <c r="D1" s="6" t="inlineStr">
        <is>
          <t>Example</t>
        </is>
      </c>
      <c r="E1" s="6" t="inlineStr">
        <is>
          <t>Preferred Source</t>
        </is>
      </c>
      <c r="F1" s="6" t="inlineStr">
        <is>
          <t>Fallback Source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5">
      <c r="A1" s="7" t="inlineStr">
        <is>
          <t>Buffett Qualitative Data Model — How to use</t>
        </is>
      </c>
    </row>
    <row r="3" ht="15" customHeight="1" s="5">
      <c r="A3" s="8" t="inlineStr">
        <is>
          <t>1) Fill 'Tickers' first (set Include?=Y for covered tickers).</t>
        </is>
      </c>
    </row>
    <row r="4" ht="15" customHeight="1" s="5">
      <c r="A4" s="8" t="inlineStr">
        <is>
          <t>2) For each criterion sheet, fill rows for your tickers with the fields listed.</t>
        </is>
      </c>
    </row>
    <row r="5" ht="15" customHeight="1" s="5">
      <c r="A5" s="8" t="inlineStr">
        <is>
          <t>3) Enter a 1–10 'Score' in each criterion sheet (or compute later with a script).</t>
        </is>
      </c>
    </row>
    <row r="6" ht="15" customHeight="1" s="5">
      <c r="A6" s="8" t="inlineStr">
        <is>
          <t>4) In 'Overview', paste Ticker/Company and the ten scores; totals and rank auto-calc.</t>
        </is>
      </c>
    </row>
    <row r="7" ht="15" customHeight="1" s="5">
      <c r="A7" s="8" t="inlineStr">
        <is>
          <t>5) Use 'Sources' to track where each field came from; 'DataDictionary' to define fields.</t>
        </is>
      </c>
    </row>
    <row r="8" ht="15" customHeight="1" s="5">
      <c r="A8" s="8" t="inlineStr">
        <is>
          <t>Tip: Keep 'Source' and 'Last Updated' filled on every row for auditability.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2025-11-04T14:45:11Z</dcterms:created>
  <dcterms:modified xmlns:dcterms="http://purl.org/dc/terms/" xmlns:xsi="http://www.w3.org/2001/XMLSchema-instance" xsi:type="dcterms:W3CDTF">2025-12-09T14:58:04Z</dcterms:modified>
  <cp:revision>0</cp:revision>
</cp:coreProperties>
</file>